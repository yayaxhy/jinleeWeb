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 filterPrivacy="1"/>
  <xr:revisionPtr revIDLastSave="0" documentId="13_ncr:1_{1B44E1D8-8552-8143-9D95-D7BBD76A1E77}" xr6:coauthVersionLast="47" xr6:coauthVersionMax="47" xr10:uidLastSave="{00000000-0000-0000-0000-000000000000}"/>
  <bookViews>
    <workbookView xWindow="12240" yWindow="660" windowWidth="17160" windowHeight="17060" activeTab="1" xr2:uid="{00000000-000D-0000-FFFF-FFFF00000000}"/>
  </bookViews>
  <sheets>
    <sheet name="利润表" sheetId="3" r:id="rId1"/>
    <sheet name="资产负债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E54" i="3"/>
  <c r="D54" i="3"/>
  <c r="C19" i="5"/>
  <c r="C15" i="5"/>
  <c r="D10" i="3"/>
  <c r="C10" i="5" l="1"/>
  <c r="C21" i="5"/>
  <c r="D55" i="3"/>
</calcChain>
</file>

<file path=xl/sharedStrings.xml><?xml version="1.0" encoding="utf-8"?>
<sst xmlns="http://schemas.openxmlformats.org/spreadsheetml/2006/main" count="227" uniqueCount="92">
  <si>
    <t>支出来源</t>
  </si>
  <si>
    <t>金额</t>
  </si>
  <si>
    <t>数据库支出</t>
  </si>
  <si>
    <t>邀请返现</t>
  </si>
  <si>
    <t>邀请奖励</t>
  </si>
  <si>
    <t>项目</t>
  </si>
  <si>
    <t>说明</t>
  </si>
  <si>
    <t>净利润</t>
  </si>
  <si>
    <t>收入项目</t>
  </si>
  <si>
    <t/>
  </si>
  <si>
    <t>备注</t>
  </si>
  <si>
    <t>沿用你之前确认的 5 月收入口径</t>
  </si>
  <si>
    <t>抽奖净收入</t>
  </si>
  <si>
    <t>刮刮乐净收入</t>
  </si>
  <si>
    <t>积木游戏净收入</t>
  </si>
  <si>
    <t>收入合计</t>
  </si>
  <si>
    <t>日期</t>
  </si>
  <si>
    <t>支出说明</t>
  </si>
  <si>
    <t>原始笔数</t>
  </si>
  <si>
    <t>充值返现</t>
  </si>
  <si>
    <t>合并 38 笔 Expense</t>
  </si>
  <si>
    <t>公会成本</t>
  </si>
  <si>
    <t>合并 2 笔 Expense</t>
  </si>
  <si>
    <t>其他</t>
  </si>
  <si>
    <t>合并 9 笔 Expense</t>
  </si>
  <si>
    <t>客服打赏</t>
  </si>
  <si>
    <t>合并 70 笔 Expense</t>
  </si>
  <si>
    <t>老板赔偿</t>
  </si>
  <si>
    <t>合并 118 笔</t>
  </si>
  <si>
    <t>合并 839 笔</t>
  </si>
  <si>
    <t>订单邀请返现</t>
  </si>
  <si>
    <t>合并 160 笔</t>
  </si>
  <si>
    <t>邀请进服奖励</t>
  </si>
  <si>
    <t>合并 90 笔</t>
  </si>
  <si>
    <t>zpay</t>
  </si>
  <si>
    <t>提现</t>
  </si>
  <si>
    <t>冰心</t>
  </si>
  <si>
    <t>做饭/白图</t>
  </si>
  <si>
    <t>canva</t>
  </si>
  <si>
    <t>nitro</t>
  </si>
  <si>
    <t>csgo hub</t>
  </si>
  <si>
    <t>yoki做图</t>
  </si>
  <si>
    <t>520活动策划</t>
  </si>
  <si>
    <t>4月服务器</t>
  </si>
  <si>
    <t>应酬官1</t>
  </si>
  <si>
    <t>应酬官2</t>
  </si>
  <si>
    <t>midjourney</t>
  </si>
  <si>
    <t>客服小玲</t>
  </si>
  <si>
    <t>拼多多</t>
  </si>
  <si>
    <t>奶绿</t>
  </si>
  <si>
    <t>zoey</t>
  </si>
  <si>
    <t>hr</t>
  </si>
  <si>
    <t>wx广告费</t>
  </si>
  <si>
    <t>3y提现</t>
  </si>
  <si>
    <t>小红书警务</t>
  </si>
  <si>
    <t>wx群红包</t>
  </si>
  <si>
    <t>wx群红包2</t>
  </si>
  <si>
    <t>Bot+网站5月</t>
  </si>
  <si>
    <t>5月服务器</t>
  </si>
  <si>
    <t>支出合计</t>
  </si>
  <si>
    <t>收入合计 - 支出合计</t>
  </si>
  <si>
    <t>分类</t>
  </si>
  <si>
    <t>资产</t>
  </si>
  <si>
    <t>负债</t>
  </si>
  <si>
    <t>用户余额</t>
  </si>
  <si>
    <t>流动负债</t>
  </si>
  <si>
    <t>月底前尚未支付</t>
  </si>
  <si>
    <t>负债合计</t>
  </si>
  <si>
    <t>所有者权益</t>
  </si>
  <si>
    <t>股东投入</t>
  </si>
  <si>
    <t>初始注资保留</t>
  </si>
  <si>
    <t>所有者权益合计</t>
  </si>
  <si>
    <t>负债和所有者权益总计</t>
  </si>
  <si>
    <t>应等于资产总计</t>
  </si>
  <si>
    <t>2026年5月31号资产负债表</t>
  </si>
  <si>
    <t>已排除锦鲤小助手</t>
  </si>
  <si>
    <t>应付分红</t>
  </si>
  <si>
    <t>实际资本</t>
  </si>
  <si>
    <t>总用户余额</t>
  </si>
  <si>
    <t>4月盈利</t>
  </si>
  <si>
    <t>5月盈利</t>
  </si>
  <si>
    <t>投入资本</t>
  </si>
  <si>
    <t>资产总计（总现金）</t>
  </si>
  <si>
    <t>分红</t>
  </si>
  <si>
    <t>分红（5.4计算的金额）</t>
  </si>
  <si>
    <t>2026年5月31号利润表</t>
  </si>
  <si>
    <t>抽成净收入</t>
  </si>
  <si>
    <t>手工收入调整（扣款）</t>
  </si>
  <si>
    <t>备注支出</t>
  </si>
  <si>
    <t>打赏邀请返现（老板）</t>
  </si>
  <si>
    <t>打赏邀请返现（陪玩）</t>
  </si>
  <si>
    <t>公户收款手续费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</si>
</sst>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\-"/>
    <numFmt numFmtId="165" formatCode="#,##0;[Red]\(#,##0\);\-"/>
    <numFmt numFmtId="166" formatCode="#,##0.0000_);[Red]\(#,##0.0000\)"/>
  </numFmts>
  <fonts count="5" x14ac:knownFonts="1">
    <font>
      <sz val="11"/>
      <color theme="1"/>
      <name val="Calibri"/>
      <family val="2"/>
      <scheme val="minor"/>
    </font>
    <font>
      <b/>
      <sz val="18"/>
      <color rgb="FF17324D"/>
      <name val="Calibri"/>
      <family val="2"/>
    </font>
    <font>
      <i/>
      <sz val="11"/>
      <color rgb="FF5F7285"/>
      <name val="Calibri"/>
      <family val="2"/>
    </font>
    <font>
      <b/>
      <sz val="11"/>
      <color rgb="FFFFFFFF"/>
      <name val="Calibri"/>
      <family val="2"/>
    </font>
    <font>
      <b/>
      <sz val="11"/>
      <color rgb="FF1D2F3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15C83"/>
      </patternFill>
    </fill>
    <fill>
      <patternFill patternType="solid">
        <fgColor rgb="FFDDE8F2"/>
      </patternFill>
    </fill>
    <fill>
      <patternFill patternType="solid">
        <fgColor rgb="FF466A8C"/>
      </patternFill>
    </fill>
    <fill>
      <patternFill patternType="solid">
        <fgColor rgb="FF335F87"/>
      </patternFill>
    </fill>
    <fill>
      <patternFill patternType="solid">
        <fgColor rgb="FF6B3E2E"/>
      </patternFill>
    </fill>
    <fill>
      <patternFill patternType="solid">
        <fgColor rgb="FF22486C"/>
      </patternFill>
    </fill>
    <fill>
      <patternFill patternType="solid">
        <fgColor rgb="FF8A5A4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4EA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3" fillId="4" borderId="0" xfId="0" applyFont="1" applyFill="1"/>
    <xf numFmtId="0" fontId="3" fillId="5" borderId="0" xfId="0" applyFont="1" applyFill="1"/>
    <xf numFmtId="0" fontId="3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right"/>
    </xf>
    <xf numFmtId="0" fontId="3" fillId="6" borderId="0" xfId="0" applyFont="1" applyFill="1"/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horizontal="right"/>
    </xf>
    <xf numFmtId="165" fontId="3" fillId="6" borderId="1" xfId="0" applyNumberFormat="1" applyFont="1" applyFill="1" applyBorder="1" applyAlignment="1">
      <alignment horizontal="right"/>
    </xf>
    <xf numFmtId="0" fontId="3" fillId="7" borderId="0" xfId="0" applyFont="1" applyFill="1"/>
    <xf numFmtId="0" fontId="3" fillId="7" borderId="1" xfId="0" applyFont="1" applyFill="1" applyBorder="1" applyAlignment="1">
      <alignment vertical="center"/>
    </xf>
    <xf numFmtId="164" fontId="3" fillId="7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3" fillId="8" borderId="0" xfId="0" applyFont="1" applyFill="1"/>
    <xf numFmtId="164" fontId="3" fillId="8" borderId="0" xfId="0" applyNumberFormat="1" applyFont="1" applyFill="1" applyAlignment="1">
      <alignment horizontal="right"/>
    </xf>
    <xf numFmtId="164" fontId="3" fillId="7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/>
    <xf numFmtId="2" fontId="0" fillId="0" borderId="0" xfId="0" applyNumberFormat="1"/>
    <xf numFmtId="2" fontId="0" fillId="9" borderId="0" xfId="0" applyNumberFormat="1" applyFill="1"/>
    <xf numFmtId="166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showGridLines="0" topLeftCell="A25" zoomScaleNormal="100" workbookViewId="0">
      <selection activeCell="D55" sqref="D55"/>
    </sheetView>
  </sheetViews>
  <sheetFormatPr baseColWidth="10" defaultColWidth="8.83203125" defaultRowHeight="15" x14ac:dyDescent="0.2"/>
  <cols>
    <col min="1" max="1" width="19.83203125" customWidth="1"/>
    <col min="2" max="2" width="20" customWidth="1"/>
    <col min="3" max="3" width="24" customWidth="1"/>
    <col min="4" max="4" width="16" customWidth="1"/>
    <col min="5" max="5" width="12" customWidth="1"/>
    <col min="6" max="6" width="50" customWidth="1"/>
  </cols>
  <sheetData>
    <row r="1" spans="1:7" ht="24" x14ac:dyDescent="0.3">
      <c r="A1" s="33" t="s">
        <v>85</v>
      </c>
      <c r="B1" s="33"/>
      <c r="C1" s="33"/>
      <c r="D1" s="33"/>
      <c r="E1" s="33"/>
      <c r="F1" s="33"/>
      <c r="G1" s="33"/>
    </row>
    <row r="2" spans="1:7" x14ac:dyDescent="0.2">
      <c r="A2" s="1"/>
    </row>
    <row r="4" spans="1:7" s="3" customFormat="1" x14ac:dyDescent="0.2">
      <c r="A4" s="3" t="s">
        <v>8</v>
      </c>
      <c r="B4" s="3" t="s">
        <v>9</v>
      </c>
      <c r="C4" s="3" t="s">
        <v>9</v>
      </c>
      <c r="D4" s="3" t="s">
        <v>1</v>
      </c>
      <c r="E4" s="3" t="s">
        <v>9</v>
      </c>
      <c r="F4" s="3" t="s">
        <v>10</v>
      </c>
    </row>
    <row r="5" spans="1:7" x14ac:dyDescent="0.2">
      <c r="A5" s="5" t="s">
        <v>86</v>
      </c>
      <c r="B5" s="5" t="s">
        <v>9</v>
      </c>
      <c r="C5" s="5" t="s">
        <v>9</v>
      </c>
      <c r="D5" s="7">
        <v>86109.35</v>
      </c>
      <c r="E5" s="5" t="s">
        <v>9</v>
      </c>
      <c r="F5" s="5" t="s">
        <v>11</v>
      </c>
    </row>
    <row r="6" spans="1:7" x14ac:dyDescent="0.2">
      <c r="A6" s="5" t="s">
        <v>12</v>
      </c>
      <c r="B6" s="5" t="s">
        <v>9</v>
      </c>
      <c r="C6" s="5" t="s">
        <v>9</v>
      </c>
      <c r="D6" s="7">
        <v>967.65</v>
      </c>
      <c r="E6" s="5" t="s">
        <v>9</v>
      </c>
      <c r="F6" s="5" t="s">
        <v>11</v>
      </c>
    </row>
    <row r="7" spans="1:7" x14ac:dyDescent="0.2">
      <c r="A7" s="5" t="s">
        <v>13</v>
      </c>
      <c r="B7" s="5" t="s">
        <v>9</v>
      </c>
      <c r="C7" s="5" t="s">
        <v>9</v>
      </c>
      <c r="D7" s="7">
        <v>1202</v>
      </c>
      <c r="E7" s="5" t="s">
        <v>9</v>
      </c>
      <c r="F7" s="5" t="s">
        <v>11</v>
      </c>
    </row>
    <row r="8" spans="1:7" x14ac:dyDescent="0.2">
      <c r="A8" s="5" t="s">
        <v>14</v>
      </c>
      <c r="B8" s="5" t="s">
        <v>9</v>
      </c>
      <c r="C8" s="5" t="s">
        <v>9</v>
      </c>
      <c r="D8" s="7">
        <v>1269.9100000000001</v>
      </c>
      <c r="E8" s="5" t="s">
        <v>9</v>
      </c>
      <c r="F8" s="5" t="s">
        <v>11</v>
      </c>
    </row>
    <row r="9" spans="1:7" x14ac:dyDescent="0.2">
      <c r="A9" s="5" t="s">
        <v>87</v>
      </c>
      <c r="B9" s="5" t="s">
        <v>9</v>
      </c>
      <c r="C9" s="5" t="s">
        <v>9</v>
      </c>
      <c r="D9" s="7">
        <v>2874.13</v>
      </c>
      <c r="E9" s="5" t="s">
        <v>9</v>
      </c>
      <c r="F9" s="5" t="s">
        <v>11</v>
      </c>
    </row>
    <row r="10" spans="1:7" s="9" customFormat="1" x14ac:dyDescent="0.2">
      <c r="A10" s="10" t="s">
        <v>15</v>
      </c>
      <c r="B10" s="10" t="s">
        <v>9</v>
      </c>
      <c r="C10" s="10" t="s">
        <v>9</v>
      </c>
      <c r="D10" s="11">
        <f>SUM(D5:D9)</f>
        <v>92423.040000000008</v>
      </c>
      <c r="E10" s="10" t="s">
        <v>9</v>
      </c>
      <c r="F10" s="10" t="s">
        <v>9</v>
      </c>
    </row>
    <row r="12" spans="1:7" s="3" customFormat="1" x14ac:dyDescent="0.2">
      <c r="A12" s="4" t="s">
        <v>0</v>
      </c>
      <c r="B12" s="4" t="s">
        <v>16</v>
      </c>
      <c r="C12" s="4" t="s">
        <v>17</v>
      </c>
      <c r="D12" s="4" t="s">
        <v>1</v>
      </c>
      <c r="E12" s="4" t="s">
        <v>18</v>
      </c>
      <c r="F12" s="4" t="s">
        <v>10</v>
      </c>
    </row>
    <row r="13" spans="1:7" x14ac:dyDescent="0.2">
      <c r="A13" s="5" t="s">
        <v>2</v>
      </c>
      <c r="B13" s="5" t="s">
        <v>9</v>
      </c>
      <c r="C13" s="5" t="s">
        <v>19</v>
      </c>
      <c r="D13" s="7">
        <v>3542</v>
      </c>
      <c r="E13" s="6">
        <v>38</v>
      </c>
      <c r="F13" s="5" t="s">
        <v>20</v>
      </c>
    </row>
    <row r="14" spans="1:7" x14ac:dyDescent="0.2">
      <c r="A14" s="5" t="s">
        <v>2</v>
      </c>
      <c r="B14" s="5" t="s">
        <v>9</v>
      </c>
      <c r="C14" s="5" t="s">
        <v>21</v>
      </c>
      <c r="D14" s="7">
        <v>900</v>
      </c>
      <c r="E14" s="6">
        <v>2</v>
      </c>
      <c r="F14" s="5" t="s">
        <v>22</v>
      </c>
    </row>
    <row r="15" spans="1:7" x14ac:dyDescent="0.2">
      <c r="A15" s="5" t="s">
        <v>2</v>
      </c>
      <c r="B15" s="5" t="s">
        <v>9</v>
      </c>
      <c r="C15" s="5" t="s">
        <v>23</v>
      </c>
      <c r="D15" s="7">
        <v>3532.05</v>
      </c>
      <c r="E15" s="6">
        <v>9</v>
      </c>
      <c r="F15" s="5" t="s">
        <v>24</v>
      </c>
    </row>
    <row r="16" spans="1:7" x14ac:dyDescent="0.2">
      <c r="A16" s="5" t="s">
        <v>2</v>
      </c>
      <c r="B16" s="5" t="s">
        <v>9</v>
      </c>
      <c r="C16" s="5" t="s">
        <v>25</v>
      </c>
      <c r="D16" s="7">
        <v>4806</v>
      </c>
      <c r="E16" s="6">
        <v>70</v>
      </c>
      <c r="F16" s="5" t="s">
        <v>26</v>
      </c>
    </row>
    <row r="17" spans="1:6" x14ac:dyDescent="0.2">
      <c r="A17" s="5" t="s">
        <v>2</v>
      </c>
      <c r="B17" s="5" t="s">
        <v>9</v>
      </c>
      <c r="C17" s="5" t="s">
        <v>27</v>
      </c>
      <c r="D17" s="7">
        <v>77.430000000000007</v>
      </c>
      <c r="E17" s="6">
        <v>2</v>
      </c>
      <c r="F17" s="5" t="s">
        <v>22</v>
      </c>
    </row>
    <row r="18" spans="1:6" x14ac:dyDescent="0.2">
      <c r="A18" s="5" t="s">
        <v>3</v>
      </c>
      <c r="B18" s="5" t="s">
        <v>9</v>
      </c>
      <c r="C18" s="5" t="s">
        <v>89</v>
      </c>
      <c r="D18" s="7">
        <v>245.19</v>
      </c>
      <c r="E18" s="6">
        <v>118</v>
      </c>
      <c r="F18" s="5" t="s">
        <v>28</v>
      </c>
    </row>
    <row r="19" spans="1:6" x14ac:dyDescent="0.2">
      <c r="A19" s="5" t="s">
        <v>3</v>
      </c>
      <c r="B19" s="5" t="s">
        <v>9</v>
      </c>
      <c r="C19" s="5" t="s">
        <v>90</v>
      </c>
      <c r="D19" s="7">
        <v>526.44889999999998</v>
      </c>
      <c r="E19" s="6">
        <v>839</v>
      </c>
      <c r="F19" s="5" t="s">
        <v>29</v>
      </c>
    </row>
    <row r="20" spans="1:6" x14ac:dyDescent="0.2">
      <c r="A20" s="5" t="s">
        <v>3</v>
      </c>
      <c r="B20" s="5" t="s">
        <v>9</v>
      </c>
      <c r="C20" s="5" t="s">
        <v>30</v>
      </c>
      <c r="D20" s="7">
        <v>201.5</v>
      </c>
      <c r="E20" s="6">
        <v>160</v>
      </c>
      <c r="F20" s="5" t="s">
        <v>31</v>
      </c>
    </row>
    <row r="21" spans="1:6" x14ac:dyDescent="0.2">
      <c r="A21" s="5" t="s">
        <v>4</v>
      </c>
      <c r="B21" s="5" t="s">
        <v>9</v>
      </c>
      <c r="C21" s="5" t="s">
        <v>32</v>
      </c>
      <c r="D21" s="7">
        <v>180</v>
      </c>
      <c r="E21" s="6">
        <v>90</v>
      </c>
      <c r="F21" s="5" t="s">
        <v>33</v>
      </c>
    </row>
    <row r="22" spans="1:6" x14ac:dyDescent="0.2">
      <c r="A22" s="5" t="s">
        <v>88</v>
      </c>
      <c r="B22" s="5" t="s">
        <v>9</v>
      </c>
      <c r="C22" s="5" t="s">
        <v>34</v>
      </c>
      <c r="D22" s="7">
        <v>500</v>
      </c>
      <c r="E22" s="6">
        <v>1</v>
      </c>
      <c r="F22" s="5"/>
    </row>
    <row r="23" spans="1:6" x14ac:dyDescent="0.2">
      <c r="A23" s="5" t="s">
        <v>88</v>
      </c>
      <c r="B23" s="5" t="s">
        <v>9</v>
      </c>
      <c r="C23" s="5" t="s">
        <v>35</v>
      </c>
      <c r="D23" s="7">
        <v>6</v>
      </c>
      <c r="E23" s="6">
        <v>1</v>
      </c>
      <c r="F23" s="5"/>
    </row>
    <row r="24" spans="1:6" x14ac:dyDescent="0.2">
      <c r="A24" s="5" t="s">
        <v>88</v>
      </c>
      <c r="B24" s="5" t="s">
        <v>9</v>
      </c>
      <c r="C24" s="5" t="s">
        <v>36</v>
      </c>
      <c r="D24" s="7">
        <v>200</v>
      </c>
      <c r="E24" s="6">
        <v>1</v>
      </c>
      <c r="F24" s="5"/>
    </row>
    <row r="25" spans="1:6" x14ac:dyDescent="0.2">
      <c r="A25" s="5" t="s">
        <v>88</v>
      </c>
      <c r="B25" s="5" t="s">
        <v>9</v>
      </c>
      <c r="C25" s="5" t="s">
        <v>35</v>
      </c>
      <c r="D25" s="7">
        <v>7</v>
      </c>
      <c r="E25" s="6">
        <v>1</v>
      </c>
      <c r="F25" s="5"/>
    </row>
    <row r="26" spans="1:6" x14ac:dyDescent="0.2">
      <c r="A26" s="5" t="s">
        <v>88</v>
      </c>
      <c r="B26" s="5" t="s">
        <v>9</v>
      </c>
      <c r="C26" s="5" t="s">
        <v>34</v>
      </c>
      <c r="D26" s="7">
        <v>500</v>
      </c>
      <c r="E26" s="6">
        <v>1</v>
      </c>
      <c r="F26" s="5"/>
    </row>
    <row r="27" spans="1:6" x14ac:dyDescent="0.2">
      <c r="A27" s="5" t="s">
        <v>88</v>
      </c>
      <c r="B27" s="5" t="s">
        <v>9</v>
      </c>
      <c r="C27" s="5" t="s">
        <v>37</v>
      </c>
      <c r="D27" s="7">
        <v>300</v>
      </c>
      <c r="E27" s="6">
        <v>1</v>
      </c>
      <c r="F27" s="5"/>
    </row>
    <row r="28" spans="1:6" x14ac:dyDescent="0.2">
      <c r="A28" s="5" t="s">
        <v>88</v>
      </c>
      <c r="B28" s="5" t="s">
        <v>9</v>
      </c>
      <c r="C28" s="5" t="s">
        <v>38</v>
      </c>
      <c r="D28" s="7">
        <v>115.7</v>
      </c>
      <c r="E28" s="6">
        <v>1</v>
      </c>
      <c r="F28" s="5"/>
    </row>
    <row r="29" spans="1:6" x14ac:dyDescent="0.2">
      <c r="A29" s="5" t="s">
        <v>88</v>
      </c>
      <c r="B29" s="5" t="s">
        <v>9</v>
      </c>
      <c r="C29" s="5" t="s">
        <v>39</v>
      </c>
      <c r="D29" s="7">
        <v>280</v>
      </c>
      <c r="E29" s="6">
        <v>1</v>
      </c>
      <c r="F29" s="5"/>
    </row>
    <row r="30" spans="1:6" x14ac:dyDescent="0.2">
      <c r="A30" s="5" t="s">
        <v>88</v>
      </c>
      <c r="B30" s="5" t="s">
        <v>9</v>
      </c>
      <c r="C30" s="5" t="s">
        <v>40</v>
      </c>
      <c r="D30" s="7">
        <v>2488</v>
      </c>
      <c r="E30" s="6">
        <v>1</v>
      </c>
      <c r="F30" s="5"/>
    </row>
    <row r="31" spans="1:6" x14ac:dyDescent="0.2">
      <c r="A31" s="5" t="s">
        <v>88</v>
      </c>
      <c r="B31" s="5" t="s">
        <v>9</v>
      </c>
      <c r="C31" s="5" t="s">
        <v>41</v>
      </c>
      <c r="D31" s="7">
        <v>3060</v>
      </c>
      <c r="E31" s="6">
        <v>1</v>
      </c>
      <c r="F31" s="5"/>
    </row>
    <row r="32" spans="1:6" x14ac:dyDescent="0.2">
      <c r="A32" s="5" t="s">
        <v>88</v>
      </c>
      <c r="B32" s="5" t="s">
        <v>9</v>
      </c>
      <c r="C32" s="5" t="s">
        <v>42</v>
      </c>
      <c r="D32" s="7">
        <v>350</v>
      </c>
      <c r="E32" s="6">
        <v>1</v>
      </c>
      <c r="F32" s="5"/>
    </row>
    <row r="33" spans="1:6" x14ac:dyDescent="0.2">
      <c r="A33" s="5" t="s">
        <v>88</v>
      </c>
      <c r="B33" s="5" t="s">
        <v>9</v>
      </c>
      <c r="C33" s="5" t="s">
        <v>43</v>
      </c>
      <c r="D33" s="7">
        <v>354</v>
      </c>
      <c r="E33" s="6">
        <v>1</v>
      </c>
      <c r="F33" s="5"/>
    </row>
    <row r="34" spans="1:6" x14ac:dyDescent="0.2">
      <c r="A34" s="5" t="s">
        <v>88</v>
      </c>
      <c r="B34" s="5" t="s">
        <v>9</v>
      </c>
      <c r="C34" s="5" t="s">
        <v>34</v>
      </c>
      <c r="D34" s="7">
        <v>500</v>
      </c>
      <c r="E34" s="6">
        <v>1</v>
      </c>
      <c r="F34" s="5"/>
    </row>
    <row r="35" spans="1:6" x14ac:dyDescent="0.2">
      <c r="A35" s="5" t="s">
        <v>88</v>
      </c>
      <c r="B35" s="5" t="s">
        <v>9</v>
      </c>
      <c r="C35" s="5" t="s">
        <v>44</v>
      </c>
      <c r="D35" s="7">
        <v>2000</v>
      </c>
      <c r="E35" s="6">
        <v>1</v>
      </c>
      <c r="F35" s="5"/>
    </row>
    <row r="36" spans="1:6" x14ac:dyDescent="0.2">
      <c r="A36" s="5" t="s">
        <v>88</v>
      </c>
      <c r="B36" s="5" t="s">
        <v>9</v>
      </c>
      <c r="C36" s="5" t="s">
        <v>45</v>
      </c>
      <c r="D36" s="7">
        <v>2000</v>
      </c>
      <c r="E36" s="6">
        <v>1</v>
      </c>
      <c r="F36" s="5"/>
    </row>
    <row r="37" spans="1:6" x14ac:dyDescent="0.2">
      <c r="A37" s="5" t="s">
        <v>88</v>
      </c>
      <c r="B37" s="5" t="s">
        <v>9</v>
      </c>
      <c r="C37" s="5" t="s">
        <v>38</v>
      </c>
      <c r="D37" s="7">
        <v>30</v>
      </c>
      <c r="E37" s="6">
        <v>1</v>
      </c>
      <c r="F37" s="5"/>
    </row>
    <row r="38" spans="1:6" x14ac:dyDescent="0.2">
      <c r="A38" s="5" t="s">
        <v>88</v>
      </c>
      <c r="B38" s="5" t="s">
        <v>9</v>
      </c>
      <c r="C38" s="5" t="s">
        <v>46</v>
      </c>
      <c r="D38" s="7">
        <v>245.6</v>
      </c>
      <c r="E38" s="6">
        <v>1</v>
      </c>
      <c r="F38" s="5"/>
    </row>
    <row r="39" spans="1:6" x14ac:dyDescent="0.2">
      <c r="A39" s="5" t="s">
        <v>88</v>
      </c>
      <c r="B39" s="5" t="s">
        <v>9</v>
      </c>
      <c r="C39" s="5" t="s">
        <v>34</v>
      </c>
      <c r="D39" s="7">
        <v>500</v>
      </c>
      <c r="E39" s="6">
        <v>1</v>
      </c>
      <c r="F39" s="5"/>
    </row>
    <row r="40" spans="1:6" x14ac:dyDescent="0.2">
      <c r="A40" s="5" t="s">
        <v>88</v>
      </c>
      <c r="B40" s="5" t="s">
        <v>9</v>
      </c>
      <c r="C40" s="5" t="s">
        <v>47</v>
      </c>
      <c r="D40" s="7">
        <v>3982</v>
      </c>
      <c r="E40" s="6">
        <v>1</v>
      </c>
      <c r="F40" s="5"/>
    </row>
    <row r="41" spans="1:6" x14ac:dyDescent="0.2">
      <c r="A41" s="5" t="s">
        <v>88</v>
      </c>
      <c r="B41" s="5" t="s">
        <v>9</v>
      </c>
      <c r="C41" s="5" t="s">
        <v>48</v>
      </c>
      <c r="D41" s="7">
        <v>3464</v>
      </c>
      <c r="E41" s="6">
        <v>1</v>
      </c>
      <c r="F41" s="5"/>
    </row>
    <row r="42" spans="1:6" x14ac:dyDescent="0.2">
      <c r="A42" s="5" t="s">
        <v>88</v>
      </c>
      <c r="B42" s="5" t="s">
        <v>9</v>
      </c>
      <c r="C42" s="5" t="s">
        <v>49</v>
      </c>
      <c r="D42" s="7">
        <v>3352</v>
      </c>
      <c r="E42" s="6">
        <v>1</v>
      </c>
      <c r="F42" s="5"/>
    </row>
    <row r="43" spans="1:6" x14ac:dyDescent="0.2">
      <c r="A43" s="5" t="s">
        <v>88</v>
      </c>
      <c r="B43" s="5" t="s">
        <v>9</v>
      </c>
      <c r="C43" s="5" t="s">
        <v>50</v>
      </c>
      <c r="D43" s="7">
        <v>3604</v>
      </c>
      <c r="E43" s="6">
        <v>1</v>
      </c>
      <c r="F43" s="5"/>
    </row>
    <row r="44" spans="1:6" x14ac:dyDescent="0.2">
      <c r="A44" s="5" t="s">
        <v>88</v>
      </c>
      <c r="B44" s="5" t="s">
        <v>9</v>
      </c>
      <c r="C44" s="5" t="s">
        <v>41</v>
      </c>
      <c r="D44" s="7">
        <v>1945</v>
      </c>
      <c r="E44" s="6">
        <v>1</v>
      </c>
      <c r="F44" s="5"/>
    </row>
    <row r="45" spans="1:6" x14ac:dyDescent="0.2">
      <c r="A45" s="5" t="s">
        <v>88</v>
      </c>
      <c r="B45" s="5" t="s">
        <v>9</v>
      </c>
      <c r="C45" s="5" t="s">
        <v>51</v>
      </c>
      <c r="D45" s="7">
        <v>2090</v>
      </c>
      <c r="E45" s="6">
        <v>1</v>
      </c>
      <c r="F45" s="5"/>
    </row>
    <row r="46" spans="1:6" x14ac:dyDescent="0.2">
      <c r="A46" s="5" t="s">
        <v>88</v>
      </c>
      <c r="B46" s="5" t="s">
        <v>9</v>
      </c>
      <c r="C46" s="5" t="s">
        <v>52</v>
      </c>
      <c r="D46" s="7">
        <v>350</v>
      </c>
      <c r="E46" s="6">
        <v>1</v>
      </c>
      <c r="F46" s="5"/>
    </row>
    <row r="47" spans="1:6" x14ac:dyDescent="0.2">
      <c r="A47" s="5" t="s">
        <v>88</v>
      </c>
      <c r="B47" s="5" t="s">
        <v>9</v>
      </c>
      <c r="C47" s="5" t="s">
        <v>53</v>
      </c>
      <c r="D47" s="7">
        <v>945</v>
      </c>
      <c r="E47" s="6">
        <v>1</v>
      </c>
      <c r="F47" s="5"/>
    </row>
    <row r="48" spans="1:6" x14ac:dyDescent="0.2">
      <c r="A48" s="5" t="s">
        <v>88</v>
      </c>
      <c r="B48" s="5" t="s">
        <v>9</v>
      </c>
      <c r="C48" s="5" t="s">
        <v>54</v>
      </c>
      <c r="D48" s="7">
        <v>50</v>
      </c>
      <c r="E48" s="6">
        <v>1</v>
      </c>
      <c r="F48" s="5"/>
    </row>
    <row r="49" spans="1:6" x14ac:dyDescent="0.2">
      <c r="A49" s="5" t="s">
        <v>88</v>
      </c>
      <c r="B49" s="5" t="s">
        <v>9</v>
      </c>
      <c r="C49" s="5" t="s">
        <v>55</v>
      </c>
      <c r="D49" s="7">
        <v>100</v>
      </c>
      <c r="E49" s="6">
        <v>1</v>
      </c>
      <c r="F49" s="5"/>
    </row>
    <row r="50" spans="1:6" x14ac:dyDescent="0.2">
      <c r="A50" s="5" t="s">
        <v>88</v>
      </c>
      <c r="B50" s="5" t="s">
        <v>9</v>
      </c>
      <c r="C50" s="5" t="s">
        <v>56</v>
      </c>
      <c r="D50" s="7">
        <v>100</v>
      </c>
      <c r="E50" s="6">
        <v>1</v>
      </c>
      <c r="F50" s="5"/>
    </row>
    <row r="51" spans="1:6" x14ac:dyDescent="0.2">
      <c r="A51" s="5" t="s">
        <v>88</v>
      </c>
      <c r="B51" s="5" t="s">
        <v>9</v>
      </c>
      <c r="C51" s="5" t="s">
        <v>57</v>
      </c>
      <c r="D51" s="7">
        <v>7300</v>
      </c>
      <c r="E51" s="6">
        <v>1</v>
      </c>
      <c r="F51" s="5"/>
    </row>
    <row r="52" spans="1:6" x14ac:dyDescent="0.2">
      <c r="A52" s="5" t="s">
        <v>88</v>
      </c>
      <c r="B52" s="5" t="s">
        <v>9</v>
      </c>
      <c r="C52" s="5" t="s">
        <v>58</v>
      </c>
      <c r="D52" s="7">
        <v>357</v>
      </c>
      <c r="E52" s="6">
        <v>1</v>
      </c>
      <c r="F52" s="5"/>
    </row>
    <row r="53" spans="1:6" x14ac:dyDescent="0.2">
      <c r="A53" s="5" t="s">
        <v>88</v>
      </c>
      <c r="C53" s="31" t="s">
        <v>91</v>
      </c>
      <c r="D53" s="19">
        <v>461.14</v>
      </c>
      <c r="E53" s="32">
        <v>1</v>
      </c>
    </row>
    <row r="54" spans="1:6" s="12" customFormat="1" x14ac:dyDescent="0.2">
      <c r="A54" s="13" t="s">
        <v>59</v>
      </c>
      <c r="B54" s="13" t="s">
        <v>9</v>
      </c>
      <c r="C54" s="13" t="s">
        <v>9</v>
      </c>
      <c r="D54" s="14">
        <f>SUM(D13:D53)</f>
        <v>55547.058899999996</v>
      </c>
      <c r="E54" s="15">
        <f>SUM(E13:E53)</f>
        <v>1360</v>
      </c>
      <c r="F54" s="13" t="s">
        <v>9</v>
      </c>
    </row>
    <row r="55" spans="1:6" s="16" customFormat="1" x14ac:dyDescent="0.2">
      <c r="A55" s="17" t="s">
        <v>7</v>
      </c>
      <c r="B55" s="17" t="s">
        <v>9</v>
      </c>
      <c r="C55" s="17" t="s">
        <v>9</v>
      </c>
      <c r="D55" s="18">
        <f>D10-D54</f>
        <v>36875.981100000012</v>
      </c>
      <c r="E55" s="17" t="s">
        <v>9</v>
      </c>
      <c r="F55" s="17" t="s">
        <v>60</v>
      </c>
    </row>
  </sheetData>
  <autoFilter ref="A12:F53" xr:uid="{00000000-0009-0000-0000-000002000000}"/>
  <mergeCells count="1">
    <mergeCell ref="A1:G1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showGridLines="0" tabSelected="1" zoomScaleNormal="100" workbookViewId="0">
      <pane ySplit="4" topLeftCell="A17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22" customWidth="1"/>
    <col min="2" max="3" width="18" customWidth="1"/>
    <col min="4" max="4" width="40" bestFit="1" customWidth="1"/>
    <col min="5" max="7" width="10" customWidth="1"/>
  </cols>
  <sheetData>
    <row r="1" spans="1:7" ht="24" x14ac:dyDescent="0.3">
      <c r="A1" s="33" t="s">
        <v>74</v>
      </c>
      <c r="B1" s="33"/>
      <c r="C1" s="33"/>
      <c r="D1" s="33"/>
      <c r="E1" s="33"/>
      <c r="F1" s="33"/>
      <c r="G1" s="33"/>
    </row>
    <row r="2" spans="1:7" x14ac:dyDescent="0.2">
      <c r="A2" s="1"/>
    </row>
    <row r="4" spans="1:7" s="24" customFormat="1" x14ac:dyDescent="0.2">
      <c r="A4" s="24" t="s">
        <v>5</v>
      </c>
      <c r="B4" s="24" t="s">
        <v>61</v>
      </c>
      <c r="C4" s="24" t="s">
        <v>1</v>
      </c>
      <c r="D4" s="24" t="s">
        <v>6</v>
      </c>
    </row>
    <row r="5" spans="1:7" s="25" customFormat="1" x14ac:dyDescent="0.2">
      <c r="A5" s="25" t="s">
        <v>62</v>
      </c>
      <c r="B5" s="25" t="s">
        <v>9</v>
      </c>
      <c r="C5" s="25" t="s">
        <v>9</v>
      </c>
      <c r="D5" s="25" t="s">
        <v>9</v>
      </c>
    </row>
    <row r="6" spans="1:7" s="26" customFormat="1" x14ac:dyDescent="0.2">
      <c r="A6" s="26" t="s">
        <v>78</v>
      </c>
      <c r="C6" s="19">
        <v>145063.70000000001</v>
      </c>
    </row>
    <row r="7" spans="1:7" s="26" customFormat="1" x14ac:dyDescent="0.2">
      <c r="A7" s="26" t="s">
        <v>79</v>
      </c>
      <c r="C7" s="19">
        <v>14553.49</v>
      </c>
      <c r="D7" s="26" t="s">
        <v>84</v>
      </c>
    </row>
    <row r="8" spans="1:7" s="26" customFormat="1" x14ac:dyDescent="0.2">
      <c r="A8" s="26" t="s">
        <v>80</v>
      </c>
      <c r="C8" s="19">
        <v>36875.980000000003</v>
      </c>
      <c r="D8" s="26" t="s">
        <v>83</v>
      </c>
    </row>
    <row r="9" spans="1:7" s="26" customFormat="1" x14ac:dyDescent="0.2">
      <c r="A9" s="26" t="s">
        <v>81</v>
      </c>
      <c r="C9" s="19">
        <v>120000</v>
      </c>
    </row>
    <row r="10" spans="1:7" s="8" customFormat="1" x14ac:dyDescent="0.2">
      <c r="A10" s="8" t="s">
        <v>82</v>
      </c>
      <c r="B10" s="8" t="s">
        <v>9</v>
      </c>
      <c r="C10" s="20">
        <f>SUM(C6:C9)</f>
        <v>316493.17000000004</v>
      </c>
      <c r="D10" s="8" t="s">
        <v>9</v>
      </c>
    </row>
    <row r="12" spans="1:7" s="12" customFormat="1" x14ac:dyDescent="0.2">
      <c r="A12" s="12" t="s">
        <v>63</v>
      </c>
      <c r="B12" s="12" t="s">
        <v>9</v>
      </c>
      <c r="C12" s="12" t="s">
        <v>9</v>
      </c>
      <c r="D12" s="12" t="s">
        <v>9</v>
      </c>
    </row>
    <row r="13" spans="1:7" x14ac:dyDescent="0.2">
      <c r="A13" t="s">
        <v>64</v>
      </c>
      <c r="B13" t="s">
        <v>65</v>
      </c>
      <c r="C13" s="19">
        <v>145063.70000000001</v>
      </c>
      <c r="D13" t="s">
        <v>75</v>
      </c>
    </row>
    <row r="14" spans="1:7" x14ac:dyDescent="0.2">
      <c r="A14" t="s">
        <v>76</v>
      </c>
      <c r="B14" t="s">
        <v>65</v>
      </c>
      <c r="C14" s="19">
        <f>C7+C8</f>
        <v>51429.47</v>
      </c>
      <c r="D14" t="s">
        <v>66</v>
      </c>
    </row>
    <row r="15" spans="1:7" s="21" customFormat="1" x14ac:dyDescent="0.2">
      <c r="A15" s="21" t="s">
        <v>67</v>
      </c>
      <c r="B15" s="21" t="s">
        <v>9</v>
      </c>
      <c r="C15" s="22">
        <f>SUM(C13:C14)</f>
        <v>196493.17</v>
      </c>
      <c r="D15" s="21" t="s">
        <v>9</v>
      </c>
    </row>
    <row r="17" spans="1:4" s="2" customFormat="1" x14ac:dyDescent="0.2">
      <c r="A17" s="2" t="s">
        <v>68</v>
      </c>
      <c r="B17" s="2" t="s">
        <v>9</v>
      </c>
      <c r="C17" s="2" t="s">
        <v>9</v>
      </c>
      <c r="D17" s="2" t="s">
        <v>9</v>
      </c>
    </row>
    <row r="18" spans="1:4" x14ac:dyDescent="0.2">
      <c r="A18" t="s">
        <v>77</v>
      </c>
      <c r="B18" t="s">
        <v>69</v>
      </c>
      <c r="C18" s="19">
        <v>120000</v>
      </c>
      <c r="D18" t="s">
        <v>70</v>
      </c>
    </row>
    <row r="19" spans="1:4" s="8" customFormat="1" x14ac:dyDescent="0.2">
      <c r="A19" s="8" t="s">
        <v>71</v>
      </c>
      <c r="B19" s="8" t="s">
        <v>9</v>
      </c>
      <c r="C19" s="20">
        <f>SUM(C18:C18)</f>
        <v>120000</v>
      </c>
      <c r="D19" s="8" t="s">
        <v>9</v>
      </c>
    </row>
    <row r="21" spans="1:4" s="16" customFormat="1" x14ac:dyDescent="0.2">
      <c r="A21" s="16" t="s">
        <v>72</v>
      </c>
      <c r="B21" s="16" t="s">
        <v>9</v>
      </c>
      <c r="C21" s="23">
        <f>C15+C19</f>
        <v>316493.17000000004</v>
      </c>
      <c r="D21" s="16" t="s">
        <v>73</v>
      </c>
    </row>
    <row r="25" spans="1:4" x14ac:dyDescent="0.2">
      <c r="B25" s="27"/>
    </row>
    <row r="26" spans="1:4" x14ac:dyDescent="0.2">
      <c r="B26" s="27"/>
    </row>
    <row r="27" spans="1:4" x14ac:dyDescent="0.2">
      <c r="B27" s="27"/>
    </row>
    <row r="28" spans="1:4" x14ac:dyDescent="0.2">
      <c r="B28" s="27"/>
    </row>
    <row r="29" spans="1:4" x14ac:dyDescent="0.2">
      <c r="B29" s="27"/>
    </row>
    <row r="30" spans="1:4" x14ac:dyDescent="0.2">
      <c r="B30" s="27"/>
      <c r="C30" s="28"/>
    </row>
    <row r="32" spans="1:4" x14ac:dyDescent="0.2">
      <c r="B32" s="28"/>
      <c r="D32" s="28"/>
    </row>
    <row r="33" spans="2:4" x14ac:dyDescent="0.2">
      <c r="B33" s="27"/>
      <c r="C33" s="28"/>
    </row>
    <row r="34" spans="2:4" x14ac:dyDescent="0.2">
      <c r="B34" s="27"/>
      <c r="C34" s="28"/>
    </row>
    <row r="35" spans="2:4" x14ac:dyDescent="0.2">
      <c r="B35" s="27"/>
      <c r="C35" s="28"/>
    </row>
    <row r="36" spans="2:4" x14ac:dyDescent="0.2">
      <c r="B36" s="27"/>
      <c r="C36" s="28"/>
    </row>
    <row r="37" spans="2:4" x14ac:dyDescent="0.2">
      <c r="B37" s="27"/>
      <c r="C37" s="28"/>
    </row>
    <row r="39" spans="2:4" x14ac:dyDescent="0.2">
      <c r="B39" s="27"/>
      <c r="C39" s="28"/>
    </row>
    <row r="40" spans="2:4" x14ac:dyDescent="0.2">
      <c r="C40" s="29"/>
      <c r="D40" s="28"/>
    </row>
    <row r="41" spans="2:4" x14ac:dyDescent="0.2">
      <c r="C41" s="29"/>
      <c r="D41" s="28"/>
    </row>
    <row r="42" spans="2:4" x14ac:dyDescent="0.2">
      <c r="C42" s="29"/>
      <c r="D42" s="30"/>
    </row>
    <row r="43" spans="2:4" x14ac:dyDescent="0.2">
      <c r="C43" s="29"/>
      <c r="D43" s="30"/>
    </row>
    <row r="44" spans="2:4" x14ac:dyDescent="0.2">
      <c r="C44" s="29"/>
    </row>
  </sheetData>
  <mergeCells count="1">
    <mergeCell ref="A1:G1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利润表</vt:lpstr>
      <vt:lpstr>资产负债表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2026-06-09T14:41:11Z</dcterms:created>
  <dcterms:modified xsi:type="dcterms:W3CDTF">2026-07-12T01:26:57Z</dcterms:modified>
  <cp:category/>
</cp:coreProperties>
</file>