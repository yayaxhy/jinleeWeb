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2283937eb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acfc492eeb4b80"/>
    <x:sheet xmlns:r="http://schemas.openxmlformats.org/officeDocument/2006/relationships" name="Assumptions" sheetId="2" r:id="R8bce749a039e4223"/>
    <x:sheet xmlns:r="http://schemas.openxmlformats.org/officeDocument/2006/relationships" name="OffDB Detail" sheetId="3" r:id="Rb41d2e5745eb47d9"/>
    <x:sheet xmlns:r="http://schemas.openxmlformats.org/officeDocument/2006/relationships" name="Income Statement" sheetId="4" r:id="R8bf64be064494313"/>
    <x:sheet xmlns:r="http://schemas.openxmlformats.org/officeDocument/2006/relationships" name="Equity Rollforward" sheetId="5" r:id="R57cd274771c94122"/>
    <x:sheet xmlns:r="http://schemas.openxmlformats.org/officeDocument/2006/relationships" name="Balance Sheet" sheetId="6" r:id="R4410472815144db2"/>
    <x:sheet xmlns:r="http://schemas.openxmlformats.org/officeDocument/2006/relationships" name="Checks" sheetId="7" r:id="Rbb46f3e6b754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9">
    <x:font>
      <x:sz val="11"/>
      <x:name val="Carlito"/>
    </x:font>
    <x:font>
      <x:b/>
      <x:sz val="16"/>
      <x:color rgb="FF0F172A"/>
      <x:name val="Aptos Display"/>
    </x:font>
    <x:font>
      <x:sz val="10"/>
      <x:color rgb="FF475569"/>
      <x:name val="Aptos"/>
    </x:font>
    <x:font>
      <x:b/>
      <x:sz val="10"/>
      <x:color rgb="FF475569"/>
      <x:name val="Aptos"/>
    </x:font>
    <x:font>
      <x:b/>
      <x:sz val="15"/>
      <x:color rgb="FF0F172A"/>
      <x:name val="Aptos Display"/>
    </x:font>
    <x:font>
      <x:b/>
      <x:sz val="11"/>
      <x:color rgb="FF0F172A"/>
      <x:name val="Aptos"/>
    </x:font>
    <x:font>
      <x:sz val="11"/>
      <x:color rgb="FF111827"/>
      <x:name val="Aptos"/>
    </x:font>
    <x:font>
      <x:b/>
      <x:sz val="11"/>
      <x:color rgb="FF1D4ED8"/>
      <x:name val="Aptos"/>
    </x:font>
    <x:font>
      <x:b/>
      <x:sz val="11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2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7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 applyAlignment="1">
      <x:alignment horizont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3" borderId="8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6" xfId="0" applyNumberFormat="1" applyFont="1" applyFill="1" applyBorder="1"/>
    <x:xf numFmtId="200" fontId="4" fillId="3" borderId="1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6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8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200" fontId="4" fillId="4" borderId="1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6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7" xfId="0" applyNumberFormat="1" applyFont="1" applyFill="1" applyBorder="1" applyAlignment="1">
      <x:alignment horizontal="center"/>
    </x:xf>
    <x:xf numFmtId="0" fontId="3" fillId="5" borderId="8" xfId="0" applyNumberFormat="1" applyFont="1" applyFill="1" applyBorder="1" applyAlignment="1">
      <x:alignment horizontal="center"/>
    </x:xf>
    <x:xf numFmtId="0" fontId="3" fillId="5" borderId="7" xfId="0" applyNumberFormat="1" applyFont="1" applyFill="1" applyBorder="1" applyAlignment="1">
      <x:alignment horizontal="center" vertical="center"/>
    </x:xf>
    <x:xf numFmtId="0" fontId="3" fillId="5" borderId="8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9" xfId="0" applyNumberFormat="1" applyFont="1" applyFill="1" applyBorder="1"/>
    <x:xf numFmtId="0" fontId="5" fillId="6" borderId="8" xfId="0" applyNumberFormat="1" applyFont="1" applyFill="1" applyBorder="1"/>
    <x:xf numFmtId="0" fontId="5" fillId="6" borderId="7" xfId="0" applyNumberFormat="1" applyFont="1" applyFill="1" applyBorder="1" applyAlignment="1">
      <x:alignment horizontal="left"/>
    </x:xf>
    <x:xf numFmtId="0" fontId="5" fillId="6" borderId="9" xfId="0" applyNumberFormat="1" applyFont="1" applyFill="1" applyBorder="1" applyAlignment="1">
      <x:alignment horizontal="left"/>
    </x:xf>
    <x:xf numFmtId="0" fontId="5" fillId="6" borderId="8" xfId="0" applyNumberFormat="1" applyFont="1" applyFill="1" applyBorder="1" applyAlignment="1">
      <x:alignment horizontal="left"/>
    </x:xf>
    <x:xf numFmtId="0" fontId="5" fillId="6" borderId="7" xfId="0" applyNumberFormat="1" applyFont="1" applyFill="1" applyBorder="1" applyAlignment="1">
      <x:alignment horizontal="left" vertical="center"/>
    </x:xf>
    <x:xf numFmtId="0" fontId="5" fillId="6" borderId="9" xfId="0" applyNumberFormat="1" applyFont="1" applyFill="1" applyBorder="1" applyAlignment="1">
      <x:alignment horizontal="left" vertical="center"/>
    </x:xf>
    <x:xf numFmtId="0" fontId="5" fillId="6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200" fontId="6" fillId="0" borderId="10" xfId="0" applyNumberFormat="1" applyFont="1" applyFill="1" applyBorder="1" applyAlignment="1">
      <x:alignment vertical="center" wrapText="1"/>
    </x:xf>
    <x:xf numFmtId="200" fontId="6" fillId="0" borderId="10" xfId="0" applyNumberFormat="1" applyFont="1" applyFill="1" applyBorder="1" applyAlignment="1">
      <x:alignment horizontal="right"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5" fillId="6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9" xfId="0" applyNumberFormat="1" applyFont="1" applyFill="1" applyBorder="1"/>
    <x:xf numFmtId="0" fontId="2" fillId="3" borderId="8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200" fontId="7" fillId="0" borderId="10" xfId="0" applyNumberFormat="1" applyFont="1" applyFill="1" applyBorder="1" applyAlignment="1">
      <x:alignment horizontal="right" vertical="center" wrapText="1"/>
    </x:xf>
    <x:xf numFmtId="200" fontId="8" fillId="0" borderId="10" xfId="0" applyNumberFormat="1" applyFont="1" applyFill="1" applyBorder="1" applyAlignment="1">
      <x:alignment horizontal="right" vertical="center" wrapText="1"/>
    </x:xf>
    <x:xf numFmtId="0" fontId="0" fillId="6" borderId="11" xfId="0" applyNumberFormat="1" applyFont="1" applyFill="1" applyBorder="1"/>
    <x:xf numFmtId="0" fontId="5" fillId="6" borderId="11" xfId="0" applyNumberFormat="1" applyFont="1" applyFill="1" applyBorder="1"/>
    <x:xf numFmtId="0" fontId="6" fillId="0" borderId="11" xfId="0" applyNumberFormat="1" applyFont="1" applyFill="1" applyBorder="1"/>
    <x:xf numFmtId="0" fontId="0" fillId="4" borderId="11" xfId="0" applyNumberFormat="1" applyFont="1" applyFill="1" applyBorder="1"/>
    <x:xf numFmtId="0" fontId="5" fillId="4" borderId="11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0" xfId="0" applyNumberFormat="1" applyFont="1" applyFill="1" applyBorder="1" applyAlignment="1">
      <x:alignment vertical="center"/>
    </x:xf>
    <x:xf numFmtId="200" fontId="5" fillId="4" borderId="10" xfId="0" applyNumberFormat="1" applyFont="1" applyFill="1" applyBorder="1" applyAlignment="1">
      <x:alignment vertical="center"/>
    </x:xf>
    <x:xf numFmtId="200" fontId="5" fillId="4" borderId="10" xfId="0" applyNumberFormat="1" applyFont="1" applyFill="1" applyBorder="1" applyAlignment="1">
      <x:alignment horizontal="right" vertical="center"/>
    </x:xf>
    <x:xf numFmtId="0" fontId="6" fillId="5" borderId="10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200" fontId="5" fillId="5" borderId="10" xfId="0" applyNumberFormat="1" applyFont="1" applyFill="1" applyBorder="1" applyAlignment="1">
      <x:alignment vertical="center" wrapText="1"/>
    </x:xf>
    <x:xf numFmtId="200" fontId="5" fillId="4" borderId="10" xfId="0" applyNumberFormat="1" applyFont="1" applyFill="1" applyBorder="1" applyAlignment="1">
      <x:alignment vertical="center" wrapText="1"/>
    </x:xf>
    <x:xf numFmtId="200" fontId="5" fillId="7" borderId="10" xfId="0" applyNumberFormat="1" applyFont="1" applyFill="1" applyBorder="1" applyAlignment="1">
      <x:alignment vertical="center" wrapText="1"/>
    </x:xf>
    <x:xf numFmtId="200" fontId="5" fillId="5" borderId="10" xfId="0" applyNumberFormat="1" applyFont="1" applyFill="1" applyBorder="1" applyAlignment="1">
      <x:alignment horizontal="right" vertical="center" wrapText="1"/>
    </x:xf>
    <x:xf numFmtId="200" fontId="5" fillId="4" borderId="10" xfId="0" applyNumberFormat="1" applyFont="1" applyFill="1" applyBorder="1" applyAlignment="1">
      <x:alignment horizontal="right" vertical="center" wrapText="1"/>
    </x:xf>
    <x:xf numFmtId="200" fontId="5" fillId="7" borderId="10" xfId="0" applyNumberFormat="1" applyFont="1" applyFill="1" applyBorder="1" applyAlignment="1">
      <x:alignment horizontal="right" vertical="center" wrapText="1"/>
    </x:xf>
    <x:xf numFmtId="0" fontId="6" fillId="5" borderId="1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6" fillId="3" borderId="1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5" fillId="7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vertical="center"/>
    </x:xf>
    <x:xf numFmtId="200" fontId="5" fillId="5" borderId="10" xfId="0" applyNumberFormat="1" applyFont="1" applyFill="1" applyBorder="1" applyAlignment="1">
      <x:alignment vertical="center"/>
    </x:xf>
    <x:xf numFmtId="200" fontId="5" fillId="7" borderId="10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horizontal="right" vertical="center"/>
    </x:xf>
    <x:xf numFmtId="200" fontId="5" fillId="5" borderId="10" xfId="0" applyNumberFormat="1" applyFont="1" applyFill="1" applyBorder="1" applyAlignment="1">
      <x:alignment horizontal="right" vertical="center"/>
    </x:xf>
    <x:xf numFmtId="200" fontId="5" fillId="7" borderId="10" xfId="0" applyNumberFormat="1" applyFont="1" applyFill="1" applyBorder="1" applyAlignment="1">
      <x:alignment horizontal="right" vertical="center"/>
    </x:xf>
    <x:xf numFmtId="0" fontId="6" fillId="0" borderId="10" xfId="0" applyNumberFormat="1" applyFont="1" applyFill="1" applyBorder="1" applyAlignment="1">
      <x:alignment horizontal="center" vertical="center"/>
    </x:xf>
    <x:xf numFmtId="0" fontId="5" fillId="3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068679a104770" /><Relationship Type="http://schemas.openxmlformats.org/officeDocument/2006/relationships/theme" Target="/xl/theme/theme1.xml" Id="R4055c0886bfa48b1" /><Relationship Type="http://schemas.openxmlformats.org/officeDocument/2006/relationships/sharedStrings" Target="/xl/sharedStrings.xml" Id="R08bf46df926f4433" /><Relationship Type="http://schemas.openxmlformats.org/officeDocument/2006/relationships/worksheet" Target="/xl/worksheets/sheet1.xml" Id="R91acfc492eeb4b80" /><Relationship Type="http://schemas.openxmlformats.org/officeDocument/2006/relationships/worksheet" Target="/xl/worksheets/sheet2.xml" Id="R8bce749a039e4223" /><Relationship Type="http://schemas.openxmlformats.org/officeDocument/2006/relationships/worksheet" Target="/xl/worksheets/sheet3.xml" Id="Rb41d2e5745eb47d9" /><Relationship Type="http://schemas.openxmlformats.org/officeDocument/2006/relationships/worksheet" Target="/xl/worksheets/sheet4.xml" Id="R8bf64be064494313" /><Relationship Type="http://schemas.openxmlformats.org/officeDocument/2006/relationships/worksheet" Target="/xl/worksheets/sheet5.xml" Id="R57cd274771c94122" /><Relationship Type="http://schemas.openxmlformats.org/officeDocument/2006/relationships/worksheet" Target="/xl/worksheets/sheet6.xml" Id="R4410472815144db2" /><Relationship Type="http://schemas.openxmlformats.org/officeDocument/2006/relationships/worksheet" Target="/xl/worksheets/sheet7.xml" Id="Rbb46f3e6b75443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0d6aa3138545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May 2026 Operating Snapshot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'Summary'!$J$41:$J$44</c:f>
              <c:strCache>
                <c:ptCount val="0"/>
              </c:strCache>
            </c:strRef>
          </c:cat>
          <c:val>
            <c:numRef>
              <c:f>'Summary'!$K$41:$K$44</c:f>
              <c:numCache>
                <c:formatCode>#,##0.00;[Red](#,##0.00);-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0d6aa31385453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4c749958214a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>
      <x:c r="A1" s="15" t="str">
        <x:v>May 2026 Financial Statements</x:v>
      </x:c>
      <x:c r="B1" s="16" t="str">
        <x:v>May 2026 Financial Statements</x:v>
      </x:c>
      <x:c r="C1" s="16" t="str">
        <x:v>May 2026 Financial Statements</x:v>
      </x:c>
      <x:c r="D1" s="16" t="str">
        <x:v>May 2026 Financial Statements</x:v>
      </x:c>
      <x:c r="E1" s="16" t="str">
        <x:v>May 2026 Financial Statements</x:v>
      </x:c>
      <x:c r="F1" s="16" t="str">
        <x:v>May 2026 Financial Statements</x:v>
      </x:c>
      <x:c r="G1" s="16" t="str">
        <x:v>May 2026 Financial Statements</x:v>
      </x:c>
      <x:c r="H1" s="17" t="str">
        <x:v>May 2026 Financial Statements</x:v>
      </x:c>
    </x:row>
    <x:row r="2">
      <x:c r="A2" s="18" t="str">
        <x:v>May 2026 Financial Statements</x:v>
      </x:c>
      <x:c r="B2" s="19" t="str">
        <x:v>May 2026 Financial Statements</x:v>
      </x:c>
      <x:c r="C2" s="19" t="str">
        <x:v>May 2026 Financial Statements</x:v>
      </x:c>
      <x:c r="D2" s="19" t="str">
        <x:v>May 2026 Financial Statements</x:v>
      </x:c>
      <x:c r="E2" s="19" t="str">
        <x:v>May 2026 Financial Statements</x:v>
      </x:c>
      <x:c r="F2" s="19" t="str">
        <x:v>May 2026 Financial Statements</x:v>
      </x:c>
      <x:c r="G2" s="19" t="str">
        <x:v>May 2026 Financial Statements</x:v>
      </x:c>
      <x:c r="H2" s="20" t="str">
        <x:v>May 2026 Financial Statements</x:v>
      </x:c>
    </x:row>
    <x:row r="3">
      <x:c r="A3" s="41" t="str">
        <x:v>Opening equity is based on the user's manual record at 2026-05-04 04:09 Toronto. Per user instruction, 5/1 to 5/4 profit is not backfilled.</x:v>
      </x:c>
      <x:c r="B3" s="42" t="str">
        <x:v>Opening equity is based on the user's manual record at 2026-05-04 04:09 Toronto. Per user instruction, 5/1 to 5/4 profit is not backfilled.</x:v>
      </x:c>
      <x:c r="C3" s="42" t="str">
        <x:v>Opening equity is based on the user's manual record at 2026-05-04 04:09 Toronto. Per user instruction, 5/1 to 5/4 profit is not backfilled.</x:v>
      </x:c>
      <x:c r="D3" s="42" t="str">
        <x:v>Opening equity is based on the user's manual record at 2026-05-04 04:09 Toronto. Per user instruction, 5/1 to 5/4 profit is not backfilled.</x:v>
      </x:c>
      <x:c r="E3" s="42" t="str">
        <x:v>Opening equity is based on the user's manual record at 2026-05-04 04:09 Toronto. Per user instruction, 5/1 to 5/4 profit is not backfilled.</x:v>
      </x:c>
      <x:c r="F3" s="42" t="str">
        <x:v>Opening equity is based on the user's manual record at 2026-05-04 04:09 Toronto. Per user instruction, 5/1 to 5/4 profit is not backfilled.</x:v>
      </x:c>
      <x:c r="G3" s="42" t="str">
        <x:v>Opening equity is based on the user's manual record at 2026-05-04 04:09 Toronto. Per user instruction, 5/1 to 5/4 profit is not backfilled.</x:v>
      </x:c>
      <x:c r="H3" s="43" t="str">
        <x:v>Opening equity is based on the user's manual record at 2026-05-04 04:09 Toronto. Per user instruction, 5/1 to 5/4 profit is not backfilled.</x:v>
      </x:c>
    </x:row>
    <x:row r="4">
      <x:c r="A4" s="44" t="str">
        <x:v>Opening equity is based on the user's manual record at 2026-05-04 04:09 Toronto. Per user instruction, 5/1 to 5/4 profit is not backfilled.</x:v>
      </x:c>
      <x:c r="B4" s="45" t="str">
        <x:v>Opening equity is based on the user's manual record at 2026-05-04 04:09 Toronto. Per user instruction, 5/1 to 5/4 profit is not backfilled.</x:v>
      </x:c>
      <x:c r="C4" s="45" t="str">
        <x:v>Opening equity is based on the user's manual record at 2026-05-04 04:09 Toronto. Per user instruction, 5/1 to 5/4 profit is not backfilled.</x:v>
      </x:c>
      <x:c r="D4" s="45" t="str">
        <x:v>Opening equity is based on the user's manual record at 2026-05-04 04:09 Toronto. Per user instruction, 5/1 to 5/4 profit is not backfilled.</x:v>
      </x:c>
      <x:c r="E4" s="45" t="str">
        <x:v>Opening equity is based on the user's manual record at 2026-05-04 04:09 Toronto. Per user instruction, 5/1 to 5/4 profit is not backfilled.</x:v>
      </x:c>
      <x:c r="F4" s="45" t="str">
        <x:v>Opening equity is based on the user's manual record at 2026-05-04 04:09 Toronto. Per user instruction, 5/1 to 5/4 profit is not backfilled.</x:v>
      </x:c>
      <x:c r="G4" s="45" t="str">
        <x:v>Opening equity is based on the user's manual record at 2026-05-04 04:09 Toronto. Per user instruction, 5/1 to 5/4 profit is not backfilled.</x:v>
      </x:c>
      <x:c r="H4" s="46" t="str">
        <x:v>Opening equity is based on the user's manual record at 2026-05-04 04:09 Toronto. Per user instruction, 5/1 to 5/4 profit is not backfilled.</x:v>
      </x:c>
    </x:row>
    <x:row r="5">
      <x:c r="A5" s="149"/>
      <x:c r="B5" s="150"/>
      <x:c r="C5" s="150"/>
      <x:c r="D5" s="150"/>
      <x:c r="E5" s="150"/>
      <x:c r="F5" s="150"/>
      <x:c r="G5" s="150"/>
      <x:c r="H5" s="151"/>
    </x:row>
    <x:row r="6">
      <x:c r="A6" s="52" t="str">
        <x:v>Net Income</x:v>
      </x:c>
      <x:c r="B6" s="53" t="str">
        <x:v>Net Income</x:v>
      </x:c>
      <x:c r="C6" s="77" t="str">
        <x:v>Dividend To Record</x:v>
      </x:c>
      <x:c r="D6" s="78" t="str">
        <x:v>Dividend To Record</x:v>
      </x:c>
      <x:c r="E6" s="102" t="str">
        <x:v>Closing Equity</x:v>
      </x:c>
      <x:c r="F6" s="103" t="str">
        <x:v>Closing Equity</x:v>
      </x:c>
      <x:c r="G6" s="52" t="str">
        <x:v>User Balances</x:v>
      </x:c>
      <x:c r="H6" s="53" t="str">
        <x:v>User Balances</x:v>
      </x:c>
    </x:row>
    <x:row r="7">
      <x:c r="A7" s="67" t="n">
        <x:f>Assumptions!$C$17</x:f>
        <x:v>38490.26</x:v>
      </x:c>
      <x:c r="B7" s="68"/>
      <x:c r="C7" s="92" t="n">
        <x:f>Assumptions!$C$19</x:f>
        <x:v>53043.75</x:v>
      </x:c>
      <x:c r="D7" s="93"/>
      <x:c r="E7" s="117" t="n">
        <x:f>Assumptions!$C$20</x:f>
        <x:v>120000</x:v>
      </x:c>
      <x:c r="F7" s="118"/>
      <x:c r="G7" s="67" t="n">
        <x:f>Assumptions!$C$7</x:f>
        <x:v>145063.7</x:v>
      </x:c>
      <x:c r="H7" s="68"/>
    </x:row>
    <x:row r="8">
      <x:c r="A8" s="69"/>
      <x:c r="B8" s="70"/>
      <x:c r="C8" s="94"/>
      <x:c r="D8" s="95"/>
      <x:c r="E8" s="119"/>
      <x:c r="F8" s="120"/>
      <x:c r="G8" s="69"/>
      <x:c r="H8" s="70"/>
    </x:row>
    <x:row r="9">
      <x:c r="A9" s="149"/>
      <x:c r="B9" s="150"/>
      <x:c r="C9" s="150"/>
      <x:c r="D9" s="150"/>
      <x:c r="E9" s="150"/>
      <x:c r="F9" s="150"/>
      <x:c r="G9" s="150"/>
      <x:c r="H9" s="151"/>
    </x:row>
    <x:row r="10">
      <x:c r="A10" s="149"/>
      <x:c r="B10" s="150"/>
      <x:c r="C10" s="150"/>
      <x:c r="D10" s="150"/>
      <x:c r="E10" s="150"/>
      <x:c r="F10" s="150"/>
      <x:c r="G10" s="150"/>
      <x:c r="H10" s="151"/>
    </x:row>
    <x:row r="11">
      <x:c r="A11" s="129" t="str">
        <x:v>Month-End Basis</x:v>
      </x:c>
      <x:c r="B11" s="130" t="str">
        <x:v>Month-End Basis</x:v>
      </x:c>
      <x:c r="C11" s="130" t="str">
        <x:v>Month-End Basis</x:v>
      </x:c>
      <x:c r="D11" s="130" t="str">
        <x:v>Month-End Basis</x:v>
      </x:c>
      <x:c r="E11" s="130" t="str">
        <x:v>Month-End Basis</x:v>
      </x:c>
      <x:c r="F11" s="130" t="str">
        <x:v>Month-End Basis</x:v>
      </x:c>
      <x:c r="G11" s="130" t="str">
        <x:v>Month-End Basis</x:v>
      </x:c>
      <x:c r="H11" s="131" t="str">
        <x:v>Month-End Basis</x:v>
      </x:c>
    </x:row>
    <x:row r="12">
      <x:c r="A12" s="138" t="str">
        <x:v>Metric</x:v>
      </x:c>
      <x:c r="B12" s="138" t="str">
        <x:v>Dividend Payable Basis</x:v>
      </x:c>
      <x:c r="C12" s="138" t="str">
        <x:v>Paid by 2026-05-31</x:v>
      </x:c>
      <x:c r="D12" s="138" t="str">
        <x:v>Notes</x:v>
      </x:c>
      <x:c r="E12" s="150"/>
      <x:c r="F12" s="150"/>
      <x:c r="G12" s="150"/>
      <x:c r="H12" s="151"/>
    </x:row>
    <x:row r="13">
      <x:c r="A13" s="135" t="str">
        <x:v>Cash</x:v>
      </x:c>
      <x:c r="B13" s="140" t="n">
        <x:f>Assumptions!$C$21</x:f>
        <x:v>318107.45</x:v>
      </x:c>
      <x:c r="C13" s="140" t="n">
        <x:f>Assumptions!$C$22</x:f>
        <x:v>265063.7</x:v>
      </x:c>
      <x:c r="D13" s="135" t="str">
        <x:v>Reported balance sheet uses the dividend payable basis.</x:v>
      </x:c>
      <x:c r="E13" s="150"/>
      <x:c r="F13" s="150"/>
      <x:c r="G13" s="150"/>
      <x:c r="H13" s="151"/>
    </x:row>
    <x:row r="14">
      <x:c r="A14" s="135" t="str">
        <x:v>Dividend</x:v>
      </x:c>
      <x:c r="B14" s="140" t="n">
        <x:f>Assumptions!$C$19</x:f>
        <x:v>53043.75</x:v>
      </x:c>
      <x:c r="C14" s="140" t="n">
        <x:v>0</x:v>
      </x:c>
      <x:c r="D14" s="135" t="str">
        <x:v>If actually paid before month-end, cash drops and the payable becomes zero.</x:v>
      </x:c>
      <x:c r="E14" s="150"/>
      <x:c r="F14" s="150"/>
      <x:c r="G14" s="150"/>
      <x:c r="H14" s="151"/>
    </x:row>
    <x:row r="15">
      <x:c r="A15" s="135" t="str">
        <x:v>Equity</x:v>
      </x:c>
      <x:c r="B15" s="140" t="n">
        <x:f>Assumptions!$C$20</x:f>
        <x:v>120000</x:v>
      </x:c>
      <x:c r="C15" s="140" t="n">
        <x:f>Assumptions!$C$20</x:f>
        <x:v>120000</x:v>
      </x:c>
      <x:c r="D15" s="135" t="str">
        <x:v>Equity is capped at the initial capital per user instruction.</x:v>
      </x:c>
      <x:c r="E15" s="150"/>
      <x:c r="F15" s="150"/>
      <x:c r="G15" s="150"/>
      <x:c r="H15" s="151"/>
    </x:row>
    <x:row r="16">
      <x:c r="A16" s="135" t="str">
        <x:v>Model Status</x:v>
      </x:c>
      <x:c r="B16" s="143" t="str">
        <x:f>Checks!$F$8</x:f>
        <x:v>OK</x:v>
      </x:c>
      <x:c r="C16" s="143" t="str">
        <x:f>Checks!$F$8</x:f>
        <x:v>OK</x:v>
      </x:c>
      <x:c r="D16" s="135" t="str">
        <x:v>Checks sheet aggregates the formula tie-outs.</x:v>
      </x:c>
      <x:c r="E16" s="150"/>
      <x:c r="F16" s="150"/>
      <x:c r="G16" s="150"/>
      <x:c r="H16" s="151"/>
    </x:row>
    <x:row r="17">
      <x:c r="A17" s="149"/>
      <x:c r="B17" s="150"/>
      <x:c r="C17" s="150"/>
      <x:c r="D17" s="150"/>
      <x:c r="E17" s="150"/>
      <x:c r="F17" s="150"/>
      <x:c r="G17" s="150"/>
      <x:c r="H17" s="151"/>
    </x:row>
    <x:row r="18">
      <x:c r="A18" s="149"/>
      <x:c r="B18" s="150"/>
      <x:c r="C18" s="150"/>
      <x:c r="D18" s="150"/>
      <x:c r="E18" s="150"/>
      <x:c r="F18" s="150"/>
      <x:c r="G18" s="150"/>
      <x:c r="H18" s="151"/>
    </x:row>
    <x:row r="19">
      <x:c r="A19" s="149"/>
      <x:c r="B19" s="150"/>
      <x:c r="C19" s="150"/>
      <x:c r="D19" s="150"/>
      <x:c r="E19" s="150"/>
      <x:c r="F19" s="150"/>
      <x:c r="G19" s="150"/>
      <x:c r="H19" s="151"/>
    </x:row>
    <x:row r="20">
      <x:c r="A20" s="152"/>
      <x:c r="B20" s="153"/>
      <x:c r="C20" s="153"/>
      <x:c r="D20" s="153"/>
      <x:c r="E20" s="153"/>
      <x:c r="F20" s="153"/>
      <x:c r="G20" s="153"/>
      <x:c r="H20" s="154"/>
    </x:row>
    <x:row r="40">
      <x:c r="J40" s="146" t="str">
        <x:v>Metric</x:v>
      </x:c>
      <x:c r="K40" s="146" t="str">
        <x:v>Amount</x:v>
      </x:c>
    </x:row>
    <x:row r="41">
      <x:c r="J41" s="144" t="str">
        <x:v>Total Revenue</x:v>
      </x:c>
      <x:c r="K41" s="148" t="n">
        <x:f>Assumptions!$C$13</x:f>
        <x:v>92423.04</x:v>
      </x:c>
    </x:row>
    <x:row r="42">
      <x:c r="J42" s="144" t="str">
        <x:v>Total Expense</x:v>
      </x:c>
      <x:c r="K42" s="148" t="n">
        <x:f>Assumptions!$C$16</x:f>
        <x:v>53932.78</x:v>
      </x:c>
    </x:row>
    <x:row r="43">
      <x:c r="J43" s="144" t="str">
        <x:v>Net Income</x:v>
      </x:c>
      <x:c r="K43" s="148" t="n">
        <x:f>Assumptions!$C$17</x:f>
        <x:v>38490.26</x:v>
      </x:c>
    </x:row>
    <x:row r="44">
      <x:c r="J44" s="144" t="str">
        <x:v>Dividend</x:v>
      </x:c>
      <x:c r="K44" s="148" t="n">
        <x:f>Assumptions!$C$19</x:f>
        <x:v>53043.75</x:v>
      </x:c>
    </x:row>
  </x:sheetData>
  <x:mergeCells>
    <x:mergeCell ref="A1:H2"/>
    <x:mergeCell ref="A3:H4"/>
    <x:mergeCell ref="A6:B6"/>
    <x:mergeCell ref="A7:B8"/>
    <x:mergeCell ref="C6:D6"/>
    <x:mergeCell ref="C7:D8"/>
    <x:mergeCell ref="E6:F6"/>
    <x:mergeCell ref="E7:F8"/>
    <x:mergeCell ref="G6:H6"/>
    <x:mergeCell ref="G7:H8"/>
    <x:mergeCell ref="A11:H11"/>
  </x:mergeCells>
  <x:pageMargins left="0.7" right="0.7" top="0.75" bottom="0.75" header="0.3" footer="0.3"/>
  <x:drawing xmlns:r="http://schemas.openxmlformats.org/officeDocument/2006/relationships" r:id="R8e4c749958214a2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6" hidden="0" customWidth="1"/>
    <x:col min="4" max="4" width="18" hidden="0" customWidth="1"/>
    <x:col min="5" max="5" width="44" hidden="0" customWidth="1"/>
  </x:cols>
  <x:sheetData>
    <x:row r="1">
      <x:c r="A1" s="15" t="str">
        <x:v>Assumptions and Source Inputs</x:v>
      </x:c>
      <x:c r="B1" s="16" t="str">
        <x:v>Assumptions and Source Inputs</x:v>
      </x:c>
      <x:c r="C1" s="16" t="str">
        <x:v>Assumptions and Source Inputs</x:v>
      </x:c>
      <x:c r="D1" s="16" t="str">
        <x:v>Assumptions and Source Inputs</x:v>
      </x:c>
      <x:c r="E1" s="17" t="str">
        <x:v>Assumptions and Source Inputs</x:v>
      </x:c>
    </x:row>
    <x:row r="2">
      <x:c r="A2" s="18" t="str">
        <x:v>Assumptions and Source Inputs</x:v>
      </x:c>
      <x:c r="B2" s="19" t="str">
        <x:v>Assumptions and Source Inputs</x:v>
      </x:c>
      <x:c r="C2" s="19" t="str">
        <x:v>Assumptions and Source Inputs</x:v>
      </x:c>
      <x:c r="D2" s="19" t="str">
        <x:v>Assumptions and Source Inputs</x:v>
      </x:c>
      <x:c r="E2" s="20" t="str">
        <x:v>Assumptions and Source Inputs</x:v>
      </x:c>
    </x:row>
    <x:row r="3">
      <x:c r="A3" s="164" t="str">
        <x:v>Blue cells are hardcoded user-confirmed inputs or DB outputs. Formula rows roll these values into the final statements.</x:v>
      </x:c>
      <x:c r="B3" s="165" t="str">
        <x:v>Blue cells are hardcoded user-confirmed inputs or DB outputs. Formula rows roll these values into the final statements.</x:v>
      </x:c>
      <x:c r="C3" s="165" t="str">
        <x:v>Blue cells are hardcoded user-confirmed inputs or DB outputs. Formula rows roll these values into the final statements.</x:v>
      </x:c>
      <x:c r="D3" s="165" t="str">
        <x:v>Blue cells are hardcoded user-confirmed inputs or DB outputs. Formula rows roll these values into the final statements.</x:v>
      </x:c>
      <x:c r="E3" s="166" t="str">
        <x:v>Blue cells are hardcoded user-confirmed inputs or DB outputs. Formula rows roll these values into the final statements.</x:v>
      </x:c>
    </x:row>
    <x:row r="4">
      <x:c r="A4" s="169" t="str">
        <x:v>Section</x:v>
      </x:c>
      <x:c r="B4" s="169" t="str">
        <x:v>Metric</x:v>
      </x:c>
      <x:c r="C4" s="169" t="str">
        <x:v>Value</x:v>
      </x:c>
      <x:c r="D4" s="169" t="str">
        <x:v>Source</x:v>
      </x:c>
      <x:c r="E4" s="169" t="str">
        <x:v>Notes</x:v>
      </x:c>
    </x:row>
    <x:row r="5">
      <x:c r="A5" s="135" t="str">
        <x:v>Opening balance basis</x:v>
      </x:c>
      <x:c r="B5" s="135" t="str">
        <x:v>Opening equity</x:v>
      </x:c>
      <x:c r="C5" s="170" t="n">
        <x:v>134553.49</x:v>
      </x:c>
      <x:c r="D5" s="135" t="str">
        <x:v>Manual record</x:v>
      </x:c>
      <x:c r="E5" s="135" t="str">
        <x:v>User-confirmed total disposable cash at 2026-05-04 04:09 Toronto.</x:v>
      </x:c>
    </x:row>
    <x:row r="6">
      <x:c r="A6" s="135" t="str">
        <x:v>Capital policy</x:v>
      </x:c>
      <x:c r="B6" s="135" t="str">
        <x:v>Initial capital</x:v>
      </x:c>
      <x:c r="C6" s="170" t="n">
        <x:v>120000</x:v>
      </x:c>
      <x:c r="D6" s="135" t="str">
        <x:v>Manual rule</x:v>
      </x:c>
      <x:c r="E6" s="135" t="str">
        <x:v>Equity above this amount is recorded as dividend.</x:v>
      </x:c>
    </x:row>
    <x:row r="7">
      <x:c r="A7" s="135" t="str">
        <x:v>Month-end liability</x:v>
      </x:c>
      <x:c r="B7" s="135" t="str">
        <x:v>User balances excl. helper</x:v>
      </x:c>
      <x:c r="C7" s="170" t="n">
        <x:v>145063.7</x:v>
      </x:c>
      <x:c r="D7" s="135" t="str">
        <x:v>DB snapshot</x:v>
      </x:c>
      <x:c r="E7" s="135" t="str">
        <x:v>As of 2026-06-01 00:00 Europe/Rome, excluding 锦鲤小助手.</x:v>
      </x:c>
    </x:row>
    <x:row r="8">
      <x:c r="A8" s="135" t="str">
        <x:v>Revenue</x:v>
      </x:c>
      <x:c r="B8" s="135" t="str">
        <x:v>Commission net</x:v>
      </x:c>
      <x:c r="C8" s="170" t="n">
        <x:v>86109.35</x:v>
      </x:c>
      <x:c r="D8" s="135" t="str">
        <x:v>DB output</x:v>
      </x:c>
      <x:c r="E8" s="135" t="str">
        <x:v>May 2026 admin revenue export.</x:v>
      </x:c>
    </x:row>
    <x:row r="9">
      <x:c r="A9" s="135" t="str">
        <x:v>Revenue</x:v>
      </x:c>
      <x:c r="B9" s="135" t="str">
        <x:v>Lottery net</x:v>
      </x:c>
      <x:c r="C9" s="170" t="n">
        <x:v>967.65</x:v>
      </x:c>
      <x:c r="D9" s="135" t="str">
        <x:v>DB output</x:v>
      </x:c>
      <x:c r="E9" s="135" t="str">
        <x:v>May 2026 admin revenue export.</x:v>
      </x:c>
    </x:row>
    <x:row r="10">
      <x:c r="A10" s="135" t="str">
        <x:v>Revenue</x:v>
      </x:c>
      <x:c r="B10" s="135" t="str">
        <x:v>Scratch net</x:v>
      </x:c>
      <x:c r="C10" s="170" t="n">
        <x:v>1202</x:v>
      </x:c>
      <x:c r="D10" s="135" t="str">
        <x:v>DB output</x:v>
      </x:c>
      <x:c r="E10" s="135" t="str">
        <x:v>May 2026 admin revenue export.</x:v>
      </x:c>
    </x:row>
    <x:row r="11">
      <x:c r="A11" s="135" t="str">
        <x:v>Revenue</x:v>
      </x:c>
      <x:c r="B11" s="135" t="str">
        <x:v>Block Stack net</x:v>
      </x:c>
      <x:c r="C11" s="170" t="n">
        <x:v>1269.91</x:v>
      </x:c>
      <x:c r="D11" s="135" t="str">
        <x:v>DB output</x:v>
      </x:c>
      <x:c r="E11" s="135" t="str">
        <x:v>May 2026 admin revenue export.</x:v>
      </x:c>
    </x:row>
    <x:row r="12">
      <x:c r="A12" s="135" t="str">
        <x:v>Revenue</x:v>
      </x:c>
      <x:c r="B12" s="135" t="str">
        <x:v>PureProfit / manual income adj.</x:v>
      </x:c>
      <x:c r="C12" s="170" t="n">
        <x:v>2874.13</x:v>
      </x:c>
      <x:c r="D12" s="135" t="str">
        <x:v>DB output</x:v>
      </x:c>
      <x:c r="E12" s="135" t="str">
        <x:v>May 2026 admin revenue export.</x:v>
      </x:c>
    </x:row>
    <x:row r="13">
      <x:c r="A13" s="135" t="str">
        <x:v>Revenue</x:v>
      </x:c>
      <x:c r="B13" s="135" t="str">
        <x:v>Total revenue</x:v>
      </x:c>
      <x:c r="C13" s="171" t="n">
        <x:f>ROUND(SUM(C8:C12),2)</x:f>
        <x:v>92423.04</x:v>
      </x:c>
      <x:c r="D13" s="135" t="str">
        <x:v>Formula</x:v>
      </x:c>
      <x:c r="E13" s="135" t="str">
        <x:v>Sum of revenue components above.</x:v>
      </x:c>
    </x:row>
    <x:row r="14">
      <x:c r="A14" s="135" t="str">
        <x:v>Expense</x:v>
      </x:c>
      <x:c r="B14" s="135" t="str">
        <x:v>DB expense</x:v>
      </x:c>
      <x:c r="C14" s="170" t="n">
        <x:v>12857.48</x:v>
      </x:c>
      <x:c r="D14" s="135" t="str">
        <x:v>DB output</x:v>
      </x:c>
      <x:c r="E14" s="135" t="str">
        <x:v>Expense table total for May 2026.</x:v>
      </x:c>
    </x:row>
    <x:row r="15">
      <x:c r="A15" s="135" t="str">
        <x:v>Expense</x:v>
      </x:c>
      <x:c r="B15" s="135" t="str">
        <x:v>Off-DB expense</x:v>
      </x:c>
      <x:c r="C15" s="171" t="n">
        <x:f>ROUND(SUM('OffDB Detail'!B5:B35),2)</x:f>
        <x:v>41075.3</x:v>
      </x:c>
      <x:c r="D15" s="135" t="str">
        <x:v>Manual list</x:v>
      </x:c>
      <x:c r="E15" s="135" t="str">
        <x:v>User-supplied out-of-database expenses listed on OffDB Detail.</x:v>
      </x:c>
    </x:row>
    <x:row r="16">
      <x:c r="A16" s="135" t="str">
        <x:v>Expense</x:v>
      </x:c>
      <x:c r="B16" s="135" t="str">
        <x:v>Total expense</x:v>
      </x:c>
      <x:c r="C16" s="171" t="n">
        <x:f>ROUND(C14+C15,2)</x:f>
        <x:v>53932.78</x:v>
      </x:c>
      <x:c r="D16" s="135" t="str">
        <x:v>Formula</x:v>
      </x:c>
      <x:c r="E16" s="135" t="str">
        <x:v>DB expense plus Off-DB expense.</x:v>
      </x:c>
    </x:row>
    <x:row r="17">
      <x:c r="A17" s="135" t="str">
        <x:v>Profit</x:v>
      </x:c>
      <x:c r="B17" s="135" t="str">
        <x:v>Adjusted net income</x:v>
      </x:c>
      <x:c r="C17" s="171" t="n">
        <x:f>ROUND(C13-C16,2)</x:f>
        <x:v>38490.26</x:v>
      </x:c>
      <x:c r="D17" s="135" t="str">
        <x:v>Formula</x:v>
      </x:c>
      <x:c r="E17" s="135" t="str">
        <x:v>Total revenue less total expense.</x:v>
      </x:c>
    </x:row>
    <x:row r="18">
      <x:c r="A18" s="135" t="str">
        <x:v>Equity</x:v>
      </x:c>
      <x:c r="B18" s="135" t="str">
        <x:v>Equity before dividend</x:v>
      </x:c>
      <x:c r="C18" s="171" t="n">
        <x:f>ROUND(C5+C17,2)</x:f>
        <x:v>173043.75</x:v>
      </x:c>
      <x:c r="D18" s="135" t="str">
        <x:v>Formula</x:v>
      </x:c>
      <x:c r="E18" s="135" t="str">
        <x:v>Opening equity plus May net income.</x:v>
      </x:c>
    </x:row>
    <x:row r="19">
      <x:c r="A19" s="135" t="str">
        <x:v>Equity</x:v>
      </x:c>
      <x:c r="B19" s="135" t="str">
        <x:v>Dividend to record</x:v>
      </x:c>
      <x:c r="C19" s="171" t="n">
        <x:f>ROUND(MAX(0,C18-C6),2)</x:f>
        <x:v>53043.75</x:v>
      </x:c>
      <x:c r="D19" s="135" t="str">
        <x:v>Formula</x:v>
      </x:c>
      <x:c r="E19" s="135" t="str">
        <x:v>Excess equity above initial capital.</x:v>
      </x:c>
    </x:row>
    <x:row r="20">
      <x:c r="A20" s="135" t="str">
        <x:v>Equity</x:v>
      </x:c>
      <x:c r="B20" s="135" t="str">
        <x:v>Closing equity after dividend</x:v>
      </x:c>
      <x:c r="C20" s="171" t="n">
        <x:f>ROUND(C18-C19,2)</x:f>
        <x:v>120000</x:v>
      </x:c>
      <x:c r="D20" s="135" t="str">
        <x:v>Formula</x:v>
      </x:c>
      <x:c r="E20" s="135" t="str">
        <x:v>Equity after recording the dividend.</x:v>
      </x:c>
    </x:row>
    <x:row r="21">
      <x:c r="A21" s="135" t="str">
        <x:v>Cash</x:v>
      </x:c>
      <x:c r="B21" s="135" t="str">
        <x:v>Month-end cash (dividend payable basis)</x:v>
      </x:c>
      <x:c r="C21" s="171" t="n">
        <x:f>ROUND(C7+C19+C20,2)</x:f>
        <x:v>318107.45</x:v>
      </x:c>
      <x:c r="D21" s="135" t="str">
        <x:v>Formula</x:v>
      </x:c>
      <x:c r="E21" s="135" t="str">
        <x:v>Cash if dividend is recorded but unpaid by 2026-05-31.</x:v>
      </x:c>
    </x:row>
    <x:row r="22">
      <x:c r="A22" s="135" t="str">
        <x:v>Cash</x:v>
      </x:c>
      <x:c r="B22" s="135" t="str">
        <x:v>Month-end cash (if dividend paid by month-end)</x:v>
      </x:c>
      <x:c r="C22" s="171" t="n">
        <x:f>ROUND(C7+C20,2)</x:f>
        <x:v>265063.7</x:v>
      </x:c>
      <x:c r="D22" s="135" t="str">
        <x:v>Formula</x:v>
      </x:c>
      <x:c r="E22" s="135" t="str">
        <x:v>Cash if the dividend has already been paid out.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</x:cols>
  <x:sheetData>
    <x:row r="1">
      <x:c r="A1" s="15" t="str">
        <x:v>Off-DB Expense Detail</x:v>
      </x:c>
      <x:c r="B1" s="16" t="str">
        <x:v>Off-DB Expense Detail</x:v>
      </x:c>
      <x:c r="C1" s="17" t="str">
        <x:v>Off-DB Expense Detail</x:v>
      </x:c>
    </x:row>
    <x:row r="2">
      <x:c r="A2" s="18" t="str">
        <x:v>Off-DB Expense Detail</x:v>
      </x:c>
      <x:c r="B2" s="19" t="str">
        <x:v>Off-DB Expense Detail</x:v>
      </x:c>
      <x:c r="C2" s="20" t="str">
        <x:v>Off-DB Expense Detail</x:v>
      </x:c>
    </x:row>
    <x:row r="3">
      <x:c r="A3" s="164" t="str">
        <x:v>These amounts were supplied by the user and are added to May expense when calculating adjusted net income.</x:v>
      </x:c>
      <x:c r="B3" s="165" t="str">
        <x:v>These amounts were supplied by the user and are added to May expense when calculating adjusted net income.</x:v>
      </x:c>
      <x:c r="C3" s="166" t="str">
        <x:v>These amounts were supplied by the user and are added to May expense when calculating adjusted net income.</x:v>
      </x:c>
    </x:row>
    <x:row r="4">
      <x:c r="A4" s="169" t="str">
        <x:v>Item</x:v>
      </x:c>
      <x:c r="B4" s="169" t="str">
        <x:v>Amount</x:v>
      </x:c>
      <x:c r="C4" s="151"/>
    </x:row>
    <x:row r="5">
      <x:c r="A5" s="144" t="str">
        <x:v>zpay</x:v>
      </x:c>
      <x:c r="B5" s="148" t="n">
        <x:v>500</x:v>
      </x:c>
      <x:c r="C5" s="151"/>
    </x:row>
    <x:row r="6">
      <x:c r="A6" s="144" t="str">
        <x:v>提现</x:v>
      </x:c>
      <x:c r="B6" s="148" t="n">
        <x:v>6</x:v>
      </x:c>
      <x:c r="C6" s="151"/>
    </x:row>
    <x:row r="7">
      <x:c r="A7" s="144" t="str">
        <x:v>冰心</x:v>
      </x:c>
      <x:c r="B7" s="148" t="n">
        <x:v>200</x:v>
      </x:c>
      <x:c r="C7" s="151"/>
    </x:row>
    <x:row r="8">
      <x:c r="A8" s="144" t="str">
        <x:v>提现</x:v>
      </x:c>
      <x:c r="B8" s="148" t="n">
        <x:v>7</x:v>
      </x:c>
      <x:c r="C8" s="151"/>
    </x:row>
    <x:row r="9">
      <x:c r="A9" s="144" t="str">
        <x:v>zpay</x:v>
      </x:c>
      <x:c r="B9" s="148" t="n">
        <x:v>500</x:v>
      </x:c>
      <x:c r="C9" s="151"/>
    </x:row>
    <x:row r="10">
      <x:c r="A10" s="144" t="str">
        <x:v>做饭/白图</x:v>
      </x:c>
      <x:c r="B10" s="148" t="n">
        <x:v>300</x:v>
      </x:c>
      <x:c r="C10" s="151"/>
    </x:row>
    <x:row r="11">
      <x:c r="A11" s="144" t="str">
        <x:v>canva</x:v>
      </x:c>
      <x:c r="B11" s="148" t="n">
        <x:v>115.7</x:v>
      </x:c>
      <x:c r="C11" s="151"/>
    </x:row>
    <x:row r="12">
      <x:c r="A12" s="144" t="str">
        <x:v>nitro</x:v>
      </x:c>
      <x:c r="B12" s="148" t="n">
        <x:v>280</x:v>
      </x:c>
      <x:c r="C12" s="151"/>
    </x:row>
    <x:row r="13">
      <x:c r="A13" s="144" t="str">
        <x:v>csgo hub</x:v>
      </x:c>
      <x:c r="B13" s="148" t="n">
        <x:v>2488</x:v>
      </x:c>
      <x:c r="C13" s="151"/>
    </x:row>
    <x:row r="14">
      <x:c r="A14" s="144" t="str">
        <x:v>yoki做图</x:v>
      </x:c>
      <x:c r="B14" s="148" t="n">
        <x:v>3060</x:v>
      </x:c>
      <x:c r="C14" s="151"/>
    </x:row>
    <x:row r="15">
      <x:c r="A15" s="144" t="str">
        <x:v>520活动策划</x:v>
      </x:c>
      <x:c r="B15" s="148" t="n">
        <x:v>350</x:v>
      </x:c>
      <x:c r="C15" s="151"/>
    </x:row>
    <x:row r="16">
      <x:c r="A16" s="144" t="str">
        <x:v>4月服务器</x:v>
      </x:c>
      <x:c r="B16" s="148" t="n">
        <x:v>354</x:v>
      </x:c>
      <x:c r="C16" s="151"/>
    </x:row>
    <x:row r="17">
      <x:c r="A17" s="144" t="str">
        <x:v>zpay</x:v>
      </x:c>
      <x:c r="B17" s="148" t="n">
        <x:v>500</x:v>
      </x:c>
      <x:c r="C17" s="151"/>
    </x:row>
    <x:row r="18">
      <x:c r="A18" s="144" t="str">
        <x:v>应酬官1</x:v>
      </x:c>
      <x:c r="B18" s="148" t="n">
        <x:v>2000</x:v>
      </x:c>
      <x:c r="C18" s="151"/>
    </x:row>
    <x:row r="19">
      <x:c r="A19" s="144" t="str">
        <x:v>应酬官2</x:v>
      </x:c>
      <x:c r="B19" s="148" t="n">
        <x:v>2000</x:v>
      </x:c>
      <x:c r="C19" s="151"/>
    </x:row>
    <x:row r="20">
      <x:c r="A20" s="144" t="str">
        <x:v>canva</x:v>
      </x:c>
      <x:c r="B20" s="148" t="n">
        <x:v>30</x:v>
      </x:c>
      <x:c r="C20" s="151"/>
    </x:row>
    <x:row r="21">
      <x:c r="A21" s="144" t="str">
        <x:v>midjourney</x:v>
      </x:c>
      <x:c r="B21" s="148" t="n">
        <x:v>245.6</x:v>
      </x:c>
      <x:c r="C21" s="151"/>
    </x:row>
    <x:row r="22">
      <x:c r="A22" s="144" t="str">
        <x:v>zpay</x:v>
      </x:c>
      <x:c r="B22" s="148" t="n">
        <x:v>500</x:v>
      </x:c>
      <x:c r="C22" s="151"/>
    </x:row>
    <x:row r="23">
      <x:c r="A23" s="144" t="str">
        <x:v>客服小玲</x:v>
      </x:c>
      <x:c r="B23" s="148" t="n">
        <x:v>3982</x:v>
      </x:c>
      <x:c r="C23" s="151"/>
    </x:row>
    <x:row r="24">
      <x:c r="A24" s="144" t="str">
        <x:v>拼多多</x:v>
      </x:c>
      <x:c r="B24" s="148" t="n">
        <x:v>3464</x:v>
      </x:c>
      <x:c r="C24" s="151"/>
    </x:row>
    <x:row r="25">
      <x:c r="A25" s="144" t="str">
        <x:v>奶绿</x:v>
      </x:c>
      <x:c r="B25" s="148" t="n">
        <x:v>3352</x:v>
      </x:c>
      <x:c r="C25" s="151"/>
    </x:row>
    <x:row r="26">
      <x:c r="A26" s="144" t="str">
        <x:v>zoey</x:v>
      </x:c>
      <x:c r="B26" s="148" t="n">
        <x:v>3604</x:v>
      </x:c>
      <x:c r="C26" s="151"/>
    </x:row>
    <x:row r="27">
      <x:c r="A27" s="144" t="str">
        <x:v>yoki做图</x:v>
      </x:c>
      <x:c r="B27" s="148" t="n">
        <x:v>1945</x:v>
      </x:c>
      <x:c r="C27" s="151"/>
    </x:row>
    <x:row r="28">
      <x:c r="A28" s="144" t="str">
        <x:v>hr</x:v>
      </x:c>
      <x:c r="B28" s="148" t="n">
        <x:v>2090</x:v>
      </x:c>
      <x:c r="C28" s="151"/>
    </x:row>
    <x:row r="29">
      <x:c r="A29" s="144" t="str">
        <x:v>wx广告费</x:v>
      </x:c>
      <x:c r="B29" s="148" t="n">
        <x:v>350</x:v>
      </x:c>
      <x:c r="C29" s="151"/>
    </x:row>
    <x:row r="30">
      <x:c r="A30" s="144" t="str">
        <x:v>3y提现</x:v>
      </x:c>
      <x:c r="B30" s="148" t="n">
        <x:v>945</x:v>
      </x:c>
      <x:c r="C30" s="151"/>
    </x:row>
    <x:row r="31">
      <x:c r="A31" s="144" t="str">
        <x:v>小红书警务</x:v>
      </x:c>
      <x:c r="B31" s="148" t="n">
        <x:v>50</x:v>
      </x:c>
      <x:c r="C31" s="151"/>
    </x:row>
    <x:row r="32">
      <x:c r="A32" s="144" t="str">
        <x:v>wx群红包</x:v>
      </x:c>
      <x:c r="B32" s="148" t="n">
        <x:v>100</x:v>
      </x:c>
      <x:c r="C32" s="151"/>
    </x:row>
    <x:row r="33">
      <x:c r="A33" s="144" t="str">
        <x:v>wx群红包2</x:v>
      </x:c>
      <x:c r="B33" s="148" t="n">
        <x:v>100</x:v>
      </x:c>
      <x:c r="C33" s="151"/>
    </x:row>
    <x:row r="34">
      <x:c r="A34" s="144" t="str">
        <x:v>Bot+网站5月</x:v>
      </x:c>
      <x:c r="B34" s="148" t="n">
        <x:v>7300</x:v>
      </x:c>
      <x:c r="C34" s="151"/>
    </x:row>
    <x:row r="35">
      <x:c r="A35" s="144" t="str">
        <x:v>5月服务器</x:v>
      </x:c>
      <x:c r="B35" s="148" t="n">
        <x:v>357</x:v>
      </x:c>
      <x:c r="C35" s="151"/>
    </x:row>
    <x:row r="36">
      <x:c r="A36" s="179" t="str">
        <x:v>Total Off-DB Expense</x:v>
      </x:c>
      <x:c r="B36" s="181" t="n">
        <x:f>SUM(B5:B35)</x:f>
        <x:v>41075.3</x:v>
      </x:c>
      <x:c r="C36" s="151"/>
    </x:row>
    <x:row r="37">
      <x:c r="A37" s="149"/>
      <x:c r="B37" s="150"/>
      <x:c r="C37" s="151"/>
    </x:row>
    <x:row r="38">
      <x:c r="A38" s="149"/>
      <x:c r="B38" s="150"/>
      <x:c r="C38" s="151"/>
    </x:row>
    <x:row r="39">
      <x:c r="A39" s="149"/>
      <x:c r="B39" s="150"/>
      <x:c r="C39" s="151"/>
    </x:row>
    <x:row r="40">
      <x:c r="A40" s="152"/>
      <x:c r="B40" s="153"/>
      <x:c r="C40" s="154"/>
    </x:row>
  </x:sheetData>
  <x:mergeCells>
    <x:mergeCell ref="A1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8" hidden="0" customWidth="1"/>
  </x:cols>
  <x:sheetData>
    <x:row r="1">
      <x:c r="A1" s="15" t="str">
        <x:v>May 2026 Income Statement</x:v>
      </x:c>
      <x:c r="B1" s="16" t="str">
        <x:v>May 2026 Income Statement</x:v>
      </x:c>
      <x:c r="C1" s="17" t="str">
        <x:v>May 2026 Income Statement</x:v>
      </x:c>
    </x:row>
    <x:row r="2">
      <x:c r="A2" s="18" t="str">
        <x:v>May 2026 Income Statement</x:v>
      </x:c>
      <x:c r="B2" s="19" t="str">
        <x:v>May 2026 Income Statement</x:v>
      </x:c>
      <x:c r="C2" s="20" t="str">
        <x:v>May 2026 Income Statement</x:v>
      </x:c>
    </x:row>
    <x:row r="3">
      <x:c r="A3" s="164" t="str">
        <x:v>Dividend is excluded from the income statement and treated as an equity distribution.</x:v>
      </x:c>
      <x:c r="B3" s="165" t="str">
        <x:v>Dividend is excluded from the income statement and treated as an equity distribution.</x:v>
      </x:c>
      <x:c r="C3" s="166" t="str">
        <x:v>Dividend is excluded from the income statement and treated as an equity distribution.</x:v>
      </x:c>
    </x:row>
    <x:row r="5">
      <x:c r="A5" s="169" t="str">
        <x:v>Line Item</x:v>
      </x:c>
      <x:c r="B5" s="169" t="str">
        <x:v>Amount</x:v>
      </x:c>
      <x:c r="C5" s="169" t="str">
        <x:v>Notes</x:v>
      </x:c>
    </x:row>
    <x:row r="6">
      <x:c r="A6" s="135" t="str">
        <x:v>Commission net</x:v>
      </x:c>
      <x:c r="B6" s="140" t="n">
        <x:f>Assumptions!$C$8</x:f>
        <x:v>86109.35</x:v>
      </x:c>
      <x:c r="C6" s="135" t="str">
        <x:v>DB output</x:v>
      </x:c>
    </x:row>
    <x:row r="7">
      <x:c r="A7" s="135" t="str">
        <x:v>Lottery net</x:v>
      </x:c>
      <x:c r="B7" s="140" t="n">
        <x:f>Assumptions!$C$9</x:f>
        <x:v>967.65</x:v>
      </x:c>
      <x:c r="C7" s="135" t="str">
        <x:v>DB output</x:v>
      </x:c>
    </x:row>
    <x:row r="8">
      <x:c r="A8" s="135" t="str">
        <x:v>Scratch net</x:v>
      </x:c>
      <x:c r="B8" s="140" t="n">
        <x:f>Assumptions!$C$10</x:f>
        <x:v>1202</x:v>
      </x:c>
      <x:c r="C8" s="135" t="str">
        <x:v>DB output</x:v>
      </x:c>
    </x:row>
    <x:row r="9">
      <x:c r="A9" s="135" t="str">
        <x:v>Block Stack net</x:v>
      </x:c>
      <x:c r="B9" s="140" t="n">
        <x:f>Assumptions!$C$11</x:f>
        <x:v>1269.91</x:v>
      </x:c>
      <x:c r="C9" s="135" t="str">
        <x:v>DB output</x:v>
      </x:c>
    </x:row>
    <x:row r="10">
      <x:c r="A10" s="135" t="str">
        <x:v>PureProfit / manual income adjustment</x:v>
      </x:c>
      <x:c r="B10" s="140" t="n">
        <x:f>Assumptions!$C$12</x:f>
        <x:v>2874.13</x:v>
      </x:c>
      <x:c r="C10" s="135" t="str">
        <x:v>DB output</x:v>
      </x:c>
    </x:row>
    <x:row r="11">
      <x:c r="A11" s="183" t="str">
        <x:v>Total revenue</x:v>
      </x:c>
      <x:c r="B11" s="191" t="n">
        <x:f>Assumptions!$C$13</x:f>
        <x:v>92423.04</x:v>
      </x:c>
      <x:c r="C11" s="183" t="str">
        <x:v>Formula</x:v>
      </x:c>
    </x:row>
    <x:row r="12">
      <x:c r="A12" s="135" t="str">
        <x:v>DB expense</x:v>
      </x:c>
      <x:c r="B12" s="140" t="n">
        <x:f>Assumptions!$C$14</x:f>
        <x:v>12857.48</x:v>
      </x:c>
      <x:c r="C12" s="135" t="str">
        <x:v>DB output</x:v>
      </x:c>
    </x:row>
    <x:row r="13">
      <x:c r="A13" s="135" t="str">
        <x:v>Off-DB expense</x:v>
      </x:c>
      <x:c r="B13" s="140" t="n">
        <x:f>Assumptions!$C$15</x:f>
        <x:v>41075.3</x:v>
      </x:c>
      <x:c r="C13" s="135" t="str">
        <x:v>User-supplied detail</x:v>
      </x:c>
    </x:row>
    <x:row r="14">
      <x:c r="A14" s="185" t="str">
        <x:v>Total expense</x:v>
      </x:c>
      <x:c r="B14" s="192" t="n">
        <x:f>Assumptions!$C$16</x:f>
        <x:v>53932.78</x:v>
      </x:c>
      <x:c r="C14" s="185" t="str">
        <x:v>Formula</x:v>
      </x:c>
    </x:row>
    <x:row r="15">
      <x:c r="A15" s="135" t="str"/>
      <x:c r="B15" s="140" t="str"/>
      <x:c r="C15" s="135" t="str"/>
    </x:row>
    <x:row r="16">
      <x:c r="A16" s="187" t="str">
        <x:v>Net income for May 2026</x:v>
      </x:c>
      <x:c r="B16" s="193" t="n">
        <x:f>Assumptions!$C$17</x:f>
        <x:v>38490.26</x:v>
      </x:c>
      <x:c r="C16" s="187" t="str">
        <x:v>Formula</x:v>
      </x:c>
    </x:row>
    <x:row r="17">
      <x:c r="A17" s="135" t="str">
        <x:v>Dividend to record</x:v>
      </x:c>
      <x:c r="B17" s="140" t="n">
        <x:f>Assumptions!$C$19</x:f>
        <x:v>53043.75</x:v>
      </x:c>
      <x:c r="C17" s="135" t="str">
        <x:v>Equity distribution, not an expense.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0" hidden="0" customWidth="1"/>
  </x:cols>
  <x:sheetData>
    <x:row r="1">
      <x:c r="A1" s="15" t="str">
        <x:v>Equity Rollforward</x:v>
      </x:c>
      <x:c r="B1" s="16" t="str">
        <x:v>Equity Rollforward</x:v>
      </x:c>
      <x:c r="C1" s="17" t="str">
        <x:v>Equity Rollforward</x:v>
      </x:c>
    </x:row>
    <x:row r="2">
      <x:c r="A2" s="18" t="str">
        <x:v>Equity Rollforward</x:v>
      </x:c>
      <x:c r="B2" s="19" t="str">
        <x:v>Equity Rollforward</x:v>
      </x:c>
      <x:c r="C2" s="20" t="str">
        <x:v>Equity Rollforward</x:v>
      </x:c>
    </x:row>
    <x:row r="3">
      <x:c r="A3" s="164" t="str">
        <x:v>Equity above the initial capital is recorded as dividend, leaving month-end equity at the capital base.</x:v>
      </x:c>
      <x:c r="B3" s="165" t="str">
        <x:v>Equity above the initial capital is recorded as dividend, leaving month-end equity at the capital base.</x:v>
      </x:c>
      <x:c r="C3" s="166" t="str">
        <x:v>Equity above the initial capital is recorded as dividend, leaving month-end equity at the capital base.</x:v>
      </x:c>
    </x:row>
    <x:row r="5">
      <x:c r="A5" s="138" t="str">
        <x:v>Line Item</x:v>
      </x:c>
      <x:c r="B5" s="138" t="str">
        <x:v>Amount</x:v>
      </x:c>
      <x:c r="C5" s="138" t="str">
        <x:v>Notes</x:v>
      </x:c>
    </x:row>
    <x:row r="6">
      <x:c r="A6" s="135" t="str">
        <x:v>Opening equity</x:v>
      </x:c>
      <x:c r="B6" s="140" t="n">
        <x:f>Assumptions!$C$5</x:f>
        <x:v>134553.49</x:v>
      </x:c>
      <x:c r="C6" s="135" t="str">
        <x:v>User-confirmed opening balance.</x:v>
      </x:c>
    </x:row>
    <x:row r="7">
      <x:c r="A7" s="135" t="str">
        <x:v>Add: adjusted net income</x:v>
      </x:c>
      <x:c r="B7" s="140" t="n">
        <x:f>Assumptions!$C$17</x:f>
        <x:v>38490.26</x:v>
      </x:c>
      <x:c r="C7" s="135" t="str">
        <x:v>May 2026 adjusted income statement result.</x:v>
      </x:c>
    </x:row>
    <x:row r="8">
      <x:c r="A8" s="135" t="str">
        <x:v>Equity before dividend</x:v>
      </x:c>
      <x:c r="B8" s="140" t="n">
        <x:f>Assumptions!$C$18</x:f>
        <x:v>173043.75</x:v>
      </x:c>
      <x:c r="C8" s="135" t="str">
        <x:v>Opening equity plus May net income.</x:v>
      </x:c>
    </x:row>
    <x:row r="9">
      <x:c r="A9" s="135" t="str">
        <x:v>Less: dividend to record</x:v>
      </x:c>
      <x:c r="B9" s="140" t="n">
        <x:f>-Assumptions!$C$19</x:f>
        <x:v>-53043.75</x:v>
      </x:c>
      <x:c r="C9" s="135" t="str">
        <x:v>Excess equity above the initial capital.</x:v>
      </x:c>
    </x:row>
    <x:row r="10">
      <x:c r="A10" s="187" t="str">
        <x:v>Closing equity</x:v>
      </x:c>
      <x:c r="B10" s="193" t="n">
        <x:f>Assumptions!$C$20</x:f>
        <x:v>120000</x:v>
      </x:c>
      <x:c r="C10" s="187" t="str">
        <x:v>Equity retained after recording the dividend.</x:v>
      </x:c>
    </x:row>
    <x:row r="11">
      <x:c r="A11" s="135" t="str">
        <x:v>Initial capital</x:v>
      </x:c>
      <x:c r="B11" s="140" t="n">
        <x:f>Assumptions!$C$6</x:f>
        <x:v>120000</x:v>
      </x:c>
      <x:c r="C11" s="135" t="str">
        <x:v>Capital base to maintain.</x:v>
      </x:c>
    </x:row>
    <x:row r="12">
      <x:c r="A12" s="135" t="str">
        <x:v>Ending retained earnings</x:v>
      </x:c>
      <x:c r="B12" s="140" t="n">
        <x:f>Assumptions!$C$20-Assumptions!$C$6</x:f>
        <x:v>0</x:v>
      </x:c>
      <x:c r="C12" s="135" t="str">
        <x:v>Closing equity less initial capital.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>
      <x:c r="A1" s="15" t="str">
        <x:v>May 31, 2026 Balance Sheet</x:v>
      </x:c>
      <x:c r="B1" s="16" t="str">
        <x:v>May 31, 2026 Balance Sheet</x:v>
      </x:c>
      <x:c r="C1" s="17" t="str">
        <x:v>May 31, 2026 Balance Sheet</x:v>
      </x:c>
    </x:row>
    <x:row r="2">
      <x:c r="A2" s="18" t="str">
        <x:v>May 31, 2026 Balance Sheet</x:v>
      </x:c>
      <x:c r="B2" s="19" t="str">
        <x:v>May 31, 2026 Balance Sheet</x:v>
      </x:c>
      <x:c r="C2" s="20" t="str">
        <x:v>May 31, 2026 Balance Sheet</x:v>
      </x:c>
    </x:row>
    <x:row r="3">
      <x:c r="A3" s="164" t="str">
        <x:v>Reported basis shows the dividend recorded as payable. The alternate column shows the cash impact if the dividend had been paid before month-end.</x:v>
      </x:c>
      <x:c r="B3" s="165" t="str">
        <x:v>Reported basis shows the dividend recorded as payable. The alternate column shows the cash impact if the dividend had been paid before month-end.</x:v>
      </x:c>
      <x:c r="C3" s="166" t="str">
        <x:v>Reported basis shows the dividend recorded as payable. The alternate column shows the cash impact if the dividend had been paid before month-end.</x:v>
      </x:c>
    </x:row>
    <x:row r="5">
      <x:c r="A5" s="169" t="str">
        <x:v>Line Item</x:v>
      </x:c>
      <x:c r="B5" s="169" t="str">
        <x:v>Dividend Payable Basis</x:v>
      </x:c>
      <x:c r="C5" s="169" t="str">
        <x:v>Paid by 2026-05-31</x:v>
      </x:c>
    </x:row>
    <x:row r="6">
      <x:c r="A6" s="195" t="str">
        <x:v>Assets</x:v>
      </x:c>
      <x:c r="B6" s="195" t="str"/>
      <x:c r="C6" s="195" t="str"/>
    </x:row>
    <x:row r="7">
      <x:c r="A7" s="144" t="str">
        <x:v>Cash</x:v>
      </x:c>
      <x:c r="B7" s="148" t="n">
        <x:f>Assumptions!$C$21</x:f>
        <x:v>318107.45</x:v>
      </x:c>
      <x:c r="C7" s="148" t="n">
        <x:f>Assumptions!$C$22</x:f>
        <x:v>265063.7</x:v>
      </x:c>
    </x:row>
    <x:row r="8">
      <x:c r="A8" s="197" t="str">
        <x:v>Total assets</x:v>
      </x:c>
      <x:c r="B8" s="204" t="n">
        <x:f>B7</x:f>
        <x:v>318107.45</x:v>
      </x:c>
      <x:c r="C8" s="204" t="n">
        <x:f>C7</x:f>
        <x:v>265063.7</x:v>
      </x:c>
    </x:row>
    <x:row r="9">
      <x:c r="A9" s="195" t="str">
        <x:v>Liabilities</x:v>
      </x:c>
      <x:c r="B9" s="205" t="str"/>
      <x:c r="C9" s="205" t="str"/>
    </x:row>
    <x:row r="10">
      <x:c r="A10" s="144" t="str">
        <x:v>User balances</x:v>
      </x:c>
      <x:c r="B10" s="148" t="n">
        <x:f>Assumptions!$C$7</x:f>
        <x:v>145063.7</x:v>
      </x:c>
      <x:c r="C10" s="148" t="n">
        <x:f>Assumptions!$C$7</x:f>
        <x:v>145063.7</x:v>
      </x:c>
    </x:row>
    <x:row r="11">
      <x:c r="A11" s="144" t="str">
        <x:v>Dividend payable</x:v>
      </x:c>
      <x:c r="B11" s="148" t="n">
        <x:f>Assumptions!$C$19</x:f>
        <x:v>53043.75</x:v>
      </x:c>
      <x:c r="C11" s="148" t="n">
        <x:v>0</x:v>
      </x:c>
    </x:row>
    <x:row r="12">
      <x:c r="A12" s="197" t="str">
        <x:v>Total liabilities</x:v>
      </x:c>
      <x:c r="B12" s="204" t="n">
        <x:f>SUM(B10:B11)</x:f>
        <x:v>198107.45</x:v>
      </x:c>
      <x:c r="C12" s="204" t="n">
        <x:f>SUM(C10:C11)</x:f>
        <x:v>145063.7</x:v>
      </x:c>
    </x:row>
    <x:row r="13">
      <x:c r="A13" s="195" t="str">
        <x:v>Equity</x:v>
      </x:c>
      <x:c r="B13" s="205" t="str"/>
      <x:c r="C13" s="205" t="str"/>
    </x:row>
    <x:row r="14">
      <x:c r="A14" s="144" t="str">
        <x:v>Initial capital</x:v>
      </x:c>
      <x:c r="B14" s="148" t="n">
        <x:f>Assumptions!$C$6</x:f>
        <x:v>120000</x:v>
      </x:c>
      <x:c r="C14" s="148" t="n">
        <x:f>Assumptions!$C$6</x:f>
        <x:v>120000</x:v>
      </x:c>
    </x:row>
    <x:row r="15">
      <x:c r="A15" s="144" t="str">
        <x:v>Retained earnings after dividend</x:v>
      </x:c>
      <x:c r="B15" s="148" t="n">
        <x:f>Assumptions!$C$20-Assumptions!$C$6</x:f>
        <x:v>0</x:v>
      </x:c>
      <x:c r="C15" s="148" t="n">
        <x:f>Assumptions!$C$20-Assumptions!$C$6</x:f>
        <x:v>0</x:v>
      </x:c>
    </x:row>
    <x:row r="16">
      <x:c r="A16" s="199" t="str">
        <x:v>Total equity</x:v>
      </x:c>
      <x:c r="B16" s="206" t="n">
        <x:f>Assumptions!$C$20</x:f>
        <x:v>120000</x:v>
      </x:c>
      <x:c r="C16" s="206" t="n">
        <x:f>Assumptions!$C$20</x:f>
        <x:v>120000</x:v>
      </x:c>
    </x:row>
    <x:row r="17">
      <x:c r="A17" s="199" t="str">
        <x:v>Total liabilities &amp; equity</x:v>
      </x:c>
      <x:c r="B17" s="206" t="n">
        <x:f>B12+B16</x:f>
        <x:v>318107.45</x:v>
      </x:c>
      <x:c r="C17" s="206" t="n">
        <x:f>C12+C16</x:f>
        <x:v>265063.7</x:v>
      </x:c>
    </x:row>
    <x:row r="18">
      <x:c r="A18" s="179" t="str">
        <x:v>Balance sheet check</x:v>
      </x:c>
      <x:c r="B18" s="181" t="n">
        <x:f>B8-B17</x:f>
        <x:v>0</x:v>
      </x:c>
      <x:c r="C18" s="181" t="n">
        <x:f>C8-C17</x:f>
        <x:v>0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15" t="str">
        <x:v>Checks</x:v>
      </x:c>
      <x:c r="B1" s="16" t="str">
        <x:v>Checks</x:v>
      </x:c>
      <x:c r="C1" s="16" t="str">
        <x:v>Checks</x:v>
      </x:c>
      <x:c r="D1" s="16" t="str">
        <x:v>Checks</x:v>
      </x:c>
      <x:c r="E1" s="16" t="str">
        <x:v>Checks</x:v>
      </x:c>
      <x:c r="F1" s="17" t="str">
        <x:v>Checks</x:v>
      </x:c>
    </x:row>
    <x:row r="2">
      <x:c r="A2" s="18" t="str">
        <x:v>Checks</x:v>
      </x:c>
      <x:c r="B2" s="19" t="str">
        <x:v>Checks</x:v>
      </x:c>
      <x:c r="C2" s="19" t="str">
        <x:v>Checks</x:v>
      </x:c>
      <x:c r="D2" s="19" t="str">
        <x:v>Checks</x:v>
      </x:c>
      <x:c r="E2" s="19" t="str">
        <x:v>Checks</x:v>
      </x:c>
      <x:c r="F2" s="20" t="str">
        <x:v>Checks</x:v>
      </x:c>
    </x:row>
    <x:row r="3">
      <x:c r="A3" s="164" t="str">
        <x:v>These checks ensure the workbook ties before export.</x:v>
      </x:c>
      <x:c r="B3" s="165" t="str">
        <x:v>These checks ensure the workbook ties before export.</x:v>
      </x:c>
      <x:c r="C3" s="165" t="str">
        <x:v>These checks ensure the workbook ties before export.</x:v>
      </x:c>
      <x:c r="D3" s="165" t="str">
        <x:v>These checks ensure the workbook ties before export.</x:v>
      </x:c>
      <x:c r="E3" s="165" t="str">
        <x:v>These checks ensure the workbook ties before export.</x:v>
      </x:c>
      <x:c r="F3" s="166" t="str">
        <x:v>These checks ensure the workbook ties before export.</x:v>
      </x:c>
    </x:row>
    <x:row r="5">
      <x:c r="A5" s="169" t="str">
        <x:v>Check</x:v>
      </x:c>
      <x:c r="B5" s="169" t="str">
        <x:v>Actual</x:v>
      </x:c>
      <x:c r="C5" s="169" t="str">
        <x:v>Expected</x:v>
      </x:c>
      <x:c r="D5" s="169" t="str">
        <x:v>Difference</x:v>
      </x:c>
      <x:c r="E5" s="169" t="str">
        <x:v>Tolerance</x:v>
      </x:c>
      <x:c r="F5" s="169" t="str">
        <x:v>Status</x:v>
      </x:c>
    </x:row>
    <x:row r="6">
      <x:c r="A6" s="144" t="str">
        <x:v>Off-DB detail ties to assumption</x:v>
      </x:c>
      <x:c r="B6" s="148" t="n">
        <x:f>SUM('OffDB Detail'!B5:B35)</x:f>
        <x:v>41075.3</x:v>
      </x:c>
      <x:c r="C6" s="148" t="n">
        <x:f>Assumptions!$C$15</x:f>
        <x:v>41075.3</x:v>
      </x:c>
      <x:c r="D6" s="148" t="n">
        <x:f>IF(ABS(B6-C6)&lt;=E6,0,B6-C6)</x:f>
        <x:v>0</x:v>
      </x:c>
      <x:c r="E6" s="148" t="n">
        <x:v>0.01</x:v>
      </x:c>
      <x:c r="F6" s="207" t="str">
        <x:f>IF(ABS(D6)&lt;=E6,"OK","FAIL")</x:f>
        <x:v>OK</x:v>
      </x:c>
    </x:row>
    <x:row r="7">
      <x:c r="A7" s="144" t="str">
        <x:v>Revenue less expense equals net income</x:v>
      </x:c>
      <x:c r="B7" s="148" t="n">
        <x:f>Assumptions!$C$13-Assumptions!$C$16</x:f>
        <x:v>38490.259999999995</x:v>
      </x:c>
      <x:c r="C7" s="148" t="n">
        <x:f>Assumptions!$C$17</x:f>
        <x:v>38490.26</x:v>
      </x:c>
      <x:c r="D7" s="148" t="n">
        <x:f>IF(ABS(B7-C7)&lt;=E7,0,B7-C7)</x:f>
        <x:v>0</x:v>
      </x:c>
      <x:c r="E7" s="148" t="n">
        <x:v>0.01</x:v>
      </x:c>
      <x:c r="F7" s="207" t="str">
        <x:f>IF(ABS(D7)&lt;=E7,"OK","FAIL")</x:f>
        <x:v>OK</x:v>
      </x:c>
    </x:row>
    <x:row r="8">
      <x:c r="A8" s="144" t="str">
        <x:v>Closing equity rollforward ties</x:v>
      </x:c>
      <x:c r="B8" s="148" t="n">
        <x:f>Assumptions!$C$5+Assumptions!$C$17-Assumptions!$C$19</x:f>
        <x:v>120000</x:v>
      </x:c>
      <x:c r="C8" s="148" t="n">
        <x:f>Assumptions!$C$20</x:f>
        <x:v>120000</x:v>
      </x:c>
      <x:c r="D8" s="148" t="n">
        <x:f>IF(ABS(B8-C8)&lt;=E8,0,B8-C8)</x:f>
        <x:v>0</x:v>
      </x:c>
      <x:c r="E8" s="148" t="n">
        <x:v>0.01</x:v>
      </x:c>
      <x:c r="F8" s="207" t="str">
        <x:f>IF(ABS(D8)&lt;=E8,"OK","FAIL")</x:f>
        <x:v>OK</x:v>
      </x:c>
    </x:row>
    <x:row r="9">
      <x:c r="A9" s="144" t="str">
        <x:v>Balance sheet balances (payable basis)</x:v>
      </x:c>
      <x:c r="B9" s="148" t="n">
        <x:f>'Balance Sheet'!$B$8</x:f>
        <x:v>318107.45</x:v>
      </x:c>
      <x:c r="C9" s="148" t="n">
        <x:f>'Balance Sheet'!$B$17</x:f>
        <x:v>318107.45</x:v>
      </x:c>
      <x:c r="D9" s="148" t="n">
        <x:f>IF(ABS(B9-C9)&lt;=E9,0,B9-C9)</x:f>
        <x:v>0</x:v>
      </x:c>
      <x:c r="E9" s="148" t="n">
        <x:v>0.01</x:v>
      </x:c>
      <x:c r="F9" s="207" t="str">
        <x:f>IF(ABS(D9)&lt;=E9,"OK","FAIL")</x:f>
        <x:v>OK</x:v>
      </x:c>
    </x:row>
    <x:row r="10">
      <x:c r="A10" s="144" t="str">
        <x:v>Balance sheet balances (paid basis)</x:v>
      </x:c>
      <x:c r="B10" s="148" t="n">
        <x:f>'Balance Sheet'!$C$8</x:f>
        <x:v>265063.7</x:v>
      </x:c>
      <x:c r="C10" s="148" t="n">
        <x:f>'Balance Sheet'!$C$17</x:f>
        <x:v>265063.7</x:v>
      </x:c>
      <x:c r="D10" s="148" t="n">
        <x:f>IF(ABS(B10-C10)&lt;=E10,0,B10-C10)</x:f>
        <x:v>0</x:v>
      </x:c>
      <x:c r="E10" s="148" t="n">
        <x:v>0.01</x:v>
      </x:c>
      <x:c r="F10" s="207" t="str">
        <x:f>IF(ABS(D10)&lt;=E10,"OK","FAIL")</x:f>
        <x:v>OK</x:v>
      </x:c>
    </x:row>
    <x:row r="11">
      <x:c r="A11" s="144"/>
      <x:c r="B11" s="144"/>
      <x:c r="C11" s="144"/>
      <x:c r="D11" s="144"/>
      <x:c r="E11" s="144"/>
      <x:c r="F11" s="207"/>
    </x:row>
    <x:row r="12">
      <x:c r="A12" s="197" t="str">
        <x:v>Model Status</x:v>
      </x:c>
      <x:c r="B12" s="197" t="str"/>
      <x:c r="C12" s="197" t="str"/>
      <x:c r="D12" s="197" t="str"/>
      <x:c r="E12" s="197" t="str"/>
      <x:c r="F12" s="208" t="str">
        <x:f>IF(COUNTIF(F6:F10,"FAIL")&gt;0,"FAIL","OK")</x:f>
        <x:v>OK</x:v>
      </x:c>
    </x:row>
  </x:sheetData>
  <x:mergeCells>
    <x:mergeCell ref="A1:F2"/>
    <x:mergeCell ref="A3:F3"/>
  </x:mergeCells>
  <x:conditionalFormatting sqref="F6:F12">
    <x:cfRule type="expression" dxfId="0" priority="1">
      <x:formula>$F6="OK"</x:formula>
    </x:cfRule>
    <x:cfRule type="expression" dxfId="1" priority="2">
      <x:formula>$F6="FAIL"</x:formula>
    </x:cfRule>
  </x:conditionalFormatting>
  <x:pageMargins left="0.7" right="0.7" top="0.75" bottom="0.75" header="0.3" footer="0.3"/>
</x:worksheet>
</file>