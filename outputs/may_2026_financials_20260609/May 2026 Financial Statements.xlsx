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ssumptions" state="visible" r:id="rId5"/>
    <sheet sheetId="3" name="OffDB Detail" state="visible" r:id="rId6"/>
    <sheet sheetId="4" name="Income Statement" state="visible" r:id="rId7"/>
    <sheet sheetId="5" name="Equity Rollforward" state="visible" r:id="rId8"/>
    <sheet sheetId="6" name="Balance Sheet" state="visible" r:id="rId9"/>
    <sheet sheetId="7" name="Checks" state="visible" r:id="rId10"/>
  </sheets>
  <calcPr calcId="171027"/>
</workbook>
</file>

<file path=xl/sharedStrings.xml><?xml version="1.0" encoding="utf-8"?>
<sst xmlns="http://schemas.openxmlformats.org/spreadsheetml/2006/main" count="225" uniqueCount="132">
  <si>
    <t>May 2026 Financial Statements</t>
  </si>
  <si>
    <t>Updated June 9, 2026. Invite-related expenses are now included in expense.</t>
  </si>
  <si>
    <t>Net Income</t>
  </si>
  <si>
    <t>Dividend To Record</t>
  </si>
  <si>
    <t>Closing Equity</t>
  </si>
  <si>
    <t>User Balances</t>
  </si>
  <si>
    <t>Expense Update</t>
  </si>
  <si>
    <t>Month-End Cash Basis</t>
  </si>
  <si>
    <t>Original adjusted expense</t>
  </si>
  <si>
    <t>If dividend payable</t>
  </si>
  <si>
    <t>Added invite-related expense</t>
  </si>
  <si>
    <t>If dividend already paid</t>
  </si>
  <si>
    <t>Updated total expense</t>
  </si>
  <si>
    <t>Dividend payable</t>
  </si>
  <si>
    <t>Updated net income</t>
  </si>
  <si>
    <t>Invite expense components included in expense</t>
  </si>
  <si>
    <t>Reason</t>
  </si>
  <si>
    <t>Count</t>
  </si>
  <si>
    <t>Amount</t>
  </si>
  <si>
    <t>邀请返现（打赏）</t>
  </si>
  <si>
    <t>邀请返现（订单）</t>
  </si>
  <si>
    <t>邀请奖励（进服）</t>
  </si>
  <si>
    <t>Total</t>
  </si>
  <si>
    <t>Assumptions &amp; Inputs</t>
  </si>
  <si>
    <t>Manual opening balance plus May DB and off-DB adjustments.</t>
  </si>
  <si>
    <t>Category</t>
  </si>
  <si>
    <t>Amount / Value</t>
  </si>
  <si>
    <t>Notes</t>
  </si>
  <si>
    <t>Revenue total</t>
  </si>
  <si>
    <t/>
  </si>
  <si>
    <t>DB revenue total for May 2026</t>
  </si>
  <si>
    <t>Commission net</t>
  </si>
  <si>
    <t>Lottery net</t>
  </si>
  <si>
    <t>Scratch net</t>
  </si>
  <si>
    <t>Block Stack net</t>
  </si>
  <si>
    <t>PureProfit / manual income adjustment</t>
  </si>
  <si>
    <t>Base DB expense</t>
  </si>
  <si>
    <t>Expense table only</t>
  </si>
  <si>
    <t>Invite expense - gift referral</t>
  </si>
  <si>
    <t>Net payouts after revert adjustments</t>
  </si>
  <si>
    <t>Invite expense - order referral</t>
  </si>
  <si>
    <t>ReferralPayout linked to ended orders</t>
  </si>
  <si>
    <t>Invite expense - join reward</t>
  </si>
  <si>
    <t>InviteLinkUsage rewards</t>
  </si>
  <si>
    <t>Off-DB expense</t>
  </si>
  <si>
    <t>User-provided manual expenses</t>
  </si>
  <si>
    <t>Opening equity</t>
  </si>
  <si>
    <t>2026-05-04 04:09 Toronto</t>
  </si>
  <si>
    <t>Initial capital</t>
  </si>
  <si>
    <t>Target closing equity after dividend</t>
  </si>
  <si>
    <t>Month-end user balances</t>
  </si>
  <si>
    <t>Excludes 锦鲤小助手</t>
  </si>
  <si>
    <t>Helper account excluded</t>
  </si>
  <si>
    <t>1441310169492361268</t>
  </si>
  <si>
    <t>锦鲤小助手</t>
  </si>
  <si>
    <t>Closing cutoff</t>
  </si>
  <si>
    <t>2026-06-01 00:00 Europe/Rome</t>
  </si>
  <si>
    <t>Balance sheet date basis</t>
  </si>
  <si>
    <t>Off-DB Expense Detail</t>
  </si>
  <si>
    <t>User-supplied expenses not recorded in the database.</t>
  </si>
  <si>
    <t>#</t>
  </si>
  <si>
    <t>Description</t>
  </si>
  <si>
    <t>zpay</t>
  </si>
  <si>
    <t>提现</t>
  </si>
  <si>
    <t>冰心</t>
  </si>
  <si>
    <t>做饭/白图</t>
  </si>
  <si>
    <t>canva</t>
  </si>
  <si>
    <t>nitro</t>
  </si>
  <si>
    <t>csgo hub</t>
  </si>
  <si>
    <t>yoki做图</t>
  </si>
  <si>
    <t>520活动策划</t>
  </si>
  <si>
    <t>4月服务器</t>
  </si>
  <si>
    <t>应酬官1</t>
  </si>
  <si>
    <t>应酬官2</t>
  </si>
  <si>
    <t>midjourney</t>
  </si>
  <si>
    <t>客服小玲</t>
  </si>
  <si>
    <t>拼多多</t>
  </si>
  <si>
    <t>奶绿</t>
  </si>
  <si>
    <t>zoey</t>
  </si>
  <si>
    <t>hr</t>
  </si>
  <si>
    <t>wx广告费</t>
  </si>
  <si>
    <t>3y提现</t>
  </si>
  <si>
    <t>小红书警务</t>
  </si>
  <si>
    <t>wx群红包</t>
  </si>
  <si>
    <t>wx群红包2</t>
  </si>
  <si>
    <t>Bot+网站5月</t>
  </si>
  <si>
    <t>5月服务器</t>
  </si>
  <si>
    <t>Income Statement</t>
  </si>
  <si>
    <t>May 2026, including invite-related expense categories.</t>
  </si>
  <si>
    <t>Line Item</t>
  </si>
  <si>
    <t>Revenue</t>
  </si>
  <si>
    <t>Total revenue</t>
  </si>
  <si>
    <t>Expenses</t>
  </si>
  <si>
    <t>DB expense (Expense table)</t>
  </si>
  <si>
    <t>Original DB expense bucket</t>
  </si>
  <si>
    <t>Net of reverted gift referrals</t>
  </si>
  <si>
    <t>InviteLinkUsage reward payouts</t>
  </si>
  <si>
    <t>Manual operating expenses</t>
  </si>
  <si>
    <t>Total expense</t>
  </si>
  <si>
    <t>Net income</t>
  </si>
  <si>
    <t>Equity Rollforward</t>
  </si>
  <si>
    <t>Opening equity plus May net income, then reduced to initial capital via dividend.</t>
  </si>
  <si>
    <t>Formula / Basis</t>
  </si>
  <si>
    <t>Manual opening record</t>
  </si>
  <si>
    <t>Add: May net income</t>
  </si>
  <si>
    <t>Includes invite-related expense</t>
  </si>
  <si>
    <t>Equity before dividend</t>
  </si>
  <si>
    <t>Less: dividend to record</t>
  </si>
  <si>
    <t>Cap equity at initial capital</t>
  </si>
  <si>
    <t>Closing equity</t>
  </si>
  <si>
    <t>Should equal initial capital</t>
  </si>
  <si>
    <t>Balance Sheet</t>
  </si>
  <si>
    <t>May 31, 2026 month-end basis.</t>
  </si>
  <si>
    <t>Scenario</t>
  </si>
  <si>
    <t>Cash</t>
  </si>
  <si>
    <t>Liabilities</t>
  </si>
  <si>
    <t>User balances</t>
  </si>
  <si>
    <t>Only if unpaid at month-end</t>
  </si>
  <si>
    <t>Equity</t>
  </si>
  <si>
    <t>Targeted back to initial capital</t>
  </si>
  <si>
    <t>Checks</t>
  </si>
  <si>
    <t>Key tie-outs for the updated May 2026 statements.</t>
  </si>
  <si>
    <t>Check</t>
  </si>
  <si>
    <t>Actual</t>
  </si>
  <si>
    <t>Expected</t>
  </si>
  <si>
    <t>Difference</t>
  </si>
  <si>
    <t>Status</t>
  </si>
  <si>
    <t>Income statement total revenue tie</t>
  </si>
  <si>
    <t>Income statement total expense tie</t>
  </si>
  <si>
    <t>Closing equity equals initial capital</t>
  </si>
  <si>
    <t>Balance sheet payable basis balances</t>
  </si>
  <si>
    <t>Balance sheet paid basis balances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</si>
</sst>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(#,##0.00);-"/>
    <numFmt numFmtId="165" formatCode="#,##0;[Red](#,##0);-"/>
  </numFmts>
  <fonts count="7" x14ac:knownFonts="1">
    <font>
      <color theme="1"/>
      <family val="2"/>
      <scheme val="minor"/>
      <sz val="11"/>
      <name val="Calibri"/>
    </font>
    <font>
      <b/>
      <color rgb="17324D"/>
      <sz val="18"/>
    </font>
    <font>
      <i/>
      <color rgb="596B7A"/>
    </font>
    <font>
      <b/>
      <color rgb="FFFFFFFF"/>
      <sz val="12"/>
    </font>
    <font>
      <b/>
      <color rgb="17324D"/>
      <sz val="16"/>
    </font>
    <font>
      <color rgb="22313F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1F3A5F"/>
      </patternFill>
    </fill>
    <fill>
      <patternFill patternType="solid">
        <fgColor rgb="EEF4FA"/>
      </patternFill>
    </fill>
    <fill>
      <patternFill patternType="solid">
        <fgColor rgb="244A74"/>
      </patternFill>
    </fill>
  </fills>
  <borders count="3">
    <border>
      <left/>
      <right/>
      <top/>
      <bottom/>
      <diagonal/>
    </border>
    <border>
      <left/>
      <right/>
      <top/>
      <bottom style="hair">
        <color rgb="E5EBF1"/>
      </bottom>
      <diagonal/>
    </border>
    <border>
      <left/>
      <right/>
      <top style="thin">
        <color rgb="90A4B8"/>
      </top>
      <bottom style="thin">
        <color rgb="D7DFE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164" fontId="4" fillId="3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 vertic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  <xf numFmtId="0" fontId="6" fillId="4" borderId="0" xfId="0" applyFont="1" applyFill="1"/>
    <xf numFmtId="0" fontId="6" fillId="4" borderId="1" xfId="0" applyFont="1" applyFill="1" applyBorder="1"/>
    <xf numFmtId="165" fontId="5" fillId="0" borderId="1" xfId="0" applyNumberFormat="1" applyFont="1" applyBorder="1" applyAlignment="1">
      <alignment horizontal="right"/>
    </xf>
    <xf numFmtId="0" fontId="5" fillId="0" borderId="2" xfId="0" applyFont="1" applyBorder="1"/>
    <xf numFmtId="165" fontId="5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49" fontId="5" fillId="0" borderId="1" xfId="0" applyNumberFormat="1" applyFont="1" applyBorder="1"/>
    <xf numFmtId="164" fontId="6" fillId="4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24" customWidth="1"/>
    <col min="4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1" x14ac:dyDescent="0.25">
      <c r="A2" s="2" t="s">
        <v>1</v>
      </c>
    </row>
    <row r="4" ht="24" customHeight="1" spans="1:4" x14ac:dyDescent="0.25">
      <c r="A4" s="3" t="s">
        <v>2</v>
      </c>
      <c r="B4" s="3"/>
      <c r="C4" s="3" t="s">
        <v>3</v>
      </c>
      <c r="D4" s="3"/>
    </row>
    <row r="5" spans="1:4" x14ac:dyDescent="0.25">
      <c r="A5" s="4">
        <f>Income Statement!C20</f>
        <v>37337.12109999999</v>
      </c>
      <c r="B5" s="4"/>
      <c r="C5" s="4">
        <f>Equity Rollforward!C8</f>
        <v>51890.61109999998</v>
      </c>
      <c r="D5" s="4"/>
    </row>
    <row r="7" spans="1:4" x14ac:dyDescent="0.25">
      <c r="A7" s="5" t="s">
        <v>4</v>
      </c>
      <c r="B7" s="5"/>
      <c r="C7" s="5" t="s">
        <v>5</v>
      </c>
      <c r="D7" s="5"/>
    </row>
    <row r="8" spans="1:4" x14ac:dyDescent="0.25">
      <c r="A8" s="4">
        <f>Equity Rollforward!C9</f>
        <v>120000</v>
      </c>
      <c r="B8" s="4"/>
      <c r="C8" s="4">
        <f>Balance Sheet!C9</f>
        <v>145063.7</v>
      </c>
      <c r="D8" s="4"/>
    </row>
    <row r="11" spans="1:4" x14ac:dyDescent="0.25">
      <c r="A11" s="5" t="s">
        <v>6</v>
      </c>
      <c r="D11" s="5" t="s">
        <v>7</v>
      </c>
    </row>
    <row r="12" spans="1:5" x14ac:dyDescent="0.25">
      <c r="A12" s="6" t="s">
        <v>8</v>
      </c>
      <c r="B12" s="7">
        <v>53932.78</v>
      </c>
      <c r="D12" s="6" t="s">
        <v>9</v>
      </c>
      <c r="E12" s="7">
        <f>Balance Sheet!C5</f>
        <v>316954.3111</v>
      </c>
    </row>
    <row r="13" spans="1:5" x14ac:dyDescent="0.25">
      <c r="A13" s="6" t="s">
        <v>10</v>
      </c>
      <c r="B13" s="7">
        <f>Assumptions!B12+Assumptions!B13+Assumptions!B14</f>
        <v>1153.1389</v>
      </c>
      <c r="D13" s="6" t="s">
        <v>11</v>
      </c>
      <c r="E13" s="7">
        <f>Balance Sheet!C6</f>
        <v>265063.7</v>
      </c>
    </row>
    <row r="14" spans="1:5" x14ac:dyDescent="0.25">
      <c r="A14" s="6" t="s">
        <v>12</v>
      </c>
      <c r="B14" s="7">
        <f>Income Statement!C19</f>
        <v>55085.918900000004</v>
      </c>
      <c r="D14" s="6" t="s">
        <v>13</v>
      </c>
      <c r="E14" s="7">
        <f>Balance Sheet!C10</f>
        <v>51890.61109999998</v>
      </c>
    </row>
    <row r="15" spans="1:2" x14ac:dyDescent="0.25">
      <c r="A15" s="6" t="s">
        <v>14</v>
      </c>
      <c r="B15" s="7">
        <f>Income Statement!C20</f>
        <v>37337.12109999999</v>
      </c>
    </row>
    <row r="18" spans="1:1" x14ac:dyDescent="0.25">
      <c r="A18" s="5" t="s">
        <v>15</v>
      </c>
    </row>
    <row r="19" spans="1:3" s="8" customFormat="1" x14ac:dyDescent="0.25">
      <c r="A19" s="9" t="s">
        <v>16</v>
      </c>
      <c r="B19" s="9" t="s">
        <v>17</v>
      </c>
      <c r="C19" s="9" t="s">
        <v>18</v>
      </c>
    </row>
    <row r="20" spans="1:3" x14ac:dyDescent="0.25">
      <c r="A20" s="6" t="s">
        <v>19</v>
      </c>
      <c r="B20" s="10">
        <v>957</v>
      </c>
      <c r="C20" s="7">
        <v>771.6389</v>
      </c>
    </row>
    <row r="21" spans="1:3" x14ac:dyDescent="0.25">
      <c r="A21" s="6" t="s">
        <v>20</v>
      </c>
      <c r="B21" s="10">
        <v>160</v>
      </c>
      <c r="C21" s="7">
        <v>201.5</v>
      </c>
    </row>
    <row r="22" spans="1:3" x14ac:dyDescent="0.25">
      <c r="A22" s="6" t="s">
        <v>21</v>
      </c>
      <c r="B22" s="10">
        <v>90</v>
      </c>
      <c r="C22" s="7">
        <v>180</v>
      </c>
    </row>
    <row r="23" spans="1:3" x14ac:dyDescent="0.25">
      <c r="A23" s="11" t="s">
        <v>22</v>
      </c>
      <c r="B23" s="12">
        <f>SUM(B20:B22)</f>
        <v>1207</v>
      </c>
      <c r="C23" s="13">
        <f>SUM(C20:C22)</f>
        <v>1153.1389</v>
      </c>
    </row>
  </sheetData>
  <mergeCells count="9">
    <mergeCell ref="A1:E1"/>
    <mergeCell ref="A4:B4"/>
    <mergeCell ref="C4:D4"/>
    <mergeCell ref="A5:B5"/>
    <mergeCell ref="C5:D5"/>
    <mergeCell ref="A7:B7"/>
    <mergeCell ref="C7:D7"/>
    <mergeCell ref="A8:B8"/>
    <mergeCell ref="C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12" customWidth="1"/>
    <col min="4" max="4" width="34" customWidth="1"/>
  </cols>
  <sheetData>
    <row r="1" spans="1:5" x14ac:dyDescent="0.25">
      <c r="A1" s="1" t="s">
        <v>23</v>
      </c>
      <c r="B1" s="1"/>
      <c r="C1" s="1"/>
      <c r="D1" s="1"/>
      <c r="E1" s="1"/>
    </row>
    <row r="2" spans="1:1" x14ac:dyDescent="0.25">
      <c r="A2" s="2" t="s">
        <v>24</v>
      </c>
    </row>
    <row r="4" spans="1:4" s="8" customFormat="1" x14ac:dyDescent="0.25">
      <c r="A4" s="8" t="s">
        <v>25</v>
      </c>
      <c r="B4" s="8" t="s">
        <v>26</v>
      </c>
      <c r="C4" s="8" t="s">
        <v>17</v>
      </c>
      <c r="D4" s="8" t="s">
        <v>27</v>
      </c>
    </row>
    <row r="5" spans="1:4" x14ac:dyDescent="0.25">
      <c r="A5" s="6" t="s">
        <v>28</v>
      </c>
      <c r="B5" s="7">
        <v>92423.04</v>
      </c>
      <c r="C5" s="6" t="s">
        <v>29</v>
      </c>
      <c r="D5" s="6" t="s">
        <v>30</v>
      </c>
    </row>
    <row r="6" spans="1:4" x14ac:dyDescent="0.25">
      <c r="A6" s="6" t="s">
        <v>31</v>
      </c>
      <c r="B6" s="7">
        <v>86109.35</v>
      </c>
      <c r="C6" s="6" t="s">
        <v>29</v>
      </c>
      <c r="D6" s="6" t="s">
        <v>29</v>
      </c>
    </row>
    <row r="7" spans="1:4" x14ac:dyDescent="0.25">
      <c r="A7" s="6" t="s">
        <v>32</v>
      </c>
      <c r="B7" s="7">
        <v>967.65</v>
      </c>
      <c r="C7" s="6" t="s">
        <v>29</v>
      </c>
      <c r="D7" s="6" t="s">
        <v>29</v>
      </c>
    </row>
    <row r="8" spans="1:4" x14ac:dyDescent="0.25">
      <c r="A8" s="6" t="s">
        <v>33</v>
      </c>
      <c r="B8" s="7">
        <v>1202</v>
      </c>
      <c r="C8" s="6" t="s">
        <v>29</v>
      </c>
      <c r="D8" s="6" t="s">
        <v>29</v>
      </c>
    </row>
    <row r="9" spans="1:4" x14ac:dyDescent="0.25">
      <c r="A9" s="6" t="s">
        <v>34</v>
      </c>
      <c r="B9" s="7">
        <v>1269.91</v>
      </c>
      <c r="C9" s="6" t="s">
        <v>29</v>
      </c>
      <c r="D9" s="6" t="s">
        <v>29</v>
      </c>
    </row>
    <row r="10" spans="1:4" x14ac:dyDescent="0.25">
      <c r="A10" s="6" t="s">
        <v>35</v>
      </c>
      <c r="B10" s="7">
        <v>2874.13</v>
      </c>
      <c r="C10" s="6" t="s">
        <v>29</v>
      </c>
      <c r="D10" s="6" t="s">
        <v>29</v>
      </c>
    </row>
    <row r="11" spans="1:4" x14ac:dyDescent="0.25">
      <c r="A11" s="6" t="s">
        <v>36</v>
      </c>
      <c r="B11" s="7">
        <v>12857.48</v>
      </c>
      <c r="C11" s="6" t="s">
        <v>29</v>
      </c>
      <c r="D11" s="6" t="s">
        <v>37</v>
      </c>
    </row>
    <row r="12" spans="1:4" x14ac:dyDescent="0.25">
      <c r="A12" s="6" t="s">
        <v>38</v>
      </c>
      <c r="B12" s="7">
        <v>771.6389</v>
      </c>
      <c r="C12" s="10">
        <v>957</v>
      </c>
      <c r="D12" s="6" t="s">
        <v>39</v>
      </c>
    </row>
    <row r="13" spans="1:4" x14ac:dyDescent="0.25">
      <c r="A13" s="6" t="s">
        <v>40</v>
      </c>
      <c r="B13" s="7">
        <v>201.5</v>
      </c>
      <c r="C13" s="10">
        <v>160</v>
      </c>
      <c r="D13" s="6" t="s">
        <v>41</v>
      </c>
    </row>
    <row r="14" spans="1:4" x14ac:dyDescent="0.25">
      <c r="A14" s="6" t="s">
        <v>42</v>
      </c>
      <c r="B14" s="7">
        <v>180</v>
      </c>
      <c r="C14" s="10">
        <v>90</v>
      </c>
      <c r="D14" s="6" t="s">
        <v>43</v>
      </c>
    </row>
    <row r="15" spans="1:4" x14ac:dyDescent="0.25">
      <c r="A15" s="6" t="s">
        <v>44</v>
      </c>
      <c r="B15" s="7">
        <v>41075.3</v>
      </c>
      <c r="C15" s="6" t="s">
        <v>29</v>
      </c>
      <c r="D15" s="6" t="s">
        <v>45</v>
      </c>
    </row>
    <row r="16" spans="1:4" x14ac:dyDescent="0.25">
      <c r="A16" s="6" t="s">
        <v>46</v>
      </c>
      <c r="B16" s="7">
        <v>134553.49</v>
      </c>
      <c r="C16" s="6" t="s">
        <v>29</v>
      </c>
      <c r="D16" s="6" t="s">
        <v>47</v>
      </c>
    </row>
    <row r="17" spans="1:4" x14ac:dyDescent="0.25">
      <c r="A17" s="6" t="s">
        <v>48</v>
      </c>
      <c r="B17" s="7">
        <v>120000</v>
      </c>
      <c r="C17" s="6" t="s">
        <v>29</v>
      </c>
      <c r="D17" s="6" t="s">
        <v>49</v>
      </c>
    </row>
    <row r="18" spans="1:4" x14ac:dyDescent="0.25">
      <c r="A18" s="6" t="s">
        <v>50</v>
      </c>
      <c r="B18" s="7">
        <v>145063.7</v>
      </c>
      <c r="C18" s="6" t="s">
        <v>29</v>
      </c>
      <c r="D18" s="6" t="s">
        <v>51</v>
      </c>
    </row>
    <row r="19" spans="1:4" x14ac:dyDescent="0.25">
      <c r="A19" s="6" t="s">
        <v>52</v>
      </c>
      <c r="B19" s="14" t="s">
        <v>53</v>
      </c>
      <c r="C19" s="6" t="s">
        <v>29</v>
      </c>
      <c r="D19" s="6" t="s">
        <v>54</v>
      </c>
    </row>
    <row r="20" spans="1:4" x14ac:dyDescent="0.25">
      <c r="A20" s="6" t="s">
        <v>55</v>
      </c>
      <c r="B20" s="14" t="s">
        <v>56</v>
      </c>
      <c r="C20" s="6" t="s">
        <v>29</v>
      </c>
      <c r="D20" s="6" t="s">
        <v>57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16" customWidth="1"/>
  </cols>
  <sheetData>
    <row r="1" spans="1:5" x14ac:dyDescent="0.25">
      <c r="A1" s="1" t="s">
        <v>58</v>
      </c>
      <c r="B1" s="1"/>
      <c r="C1" s="1"/>
      <c r="D1" s="1"/>
      <c r="E1" s="1"/>
    </row>
    <row r="2" spans="1:1" x14ac:dyDescent="0.25">
      <c r="A2" s="2" t="s">
        <v>59</v>
      </c>
    </row>
    <row r="4" spans="1:3" s="8" customFormat="1" x14ac:dyDescent="0.25">
      <c r="A4" s="8" t="s">
        <v>60</v>
      </c>
      <c r="B4" s="8" t="s">
        <v>61</v>
      </c>
      <c r="C4" s="8" t="s">
        <v>18</v>
      </c>
    </row>
    <row r="5" spans="1:3" x14ac:dyDescent="0.25">
      <c r="A5" s="10">
        <v>1</v>
      </c>
      <c r="B5" s="6" t="s">
        <v>62</v>
      </c>
      <c r="C5" s="7">
        <v>500</v>
      </c>
    </row>
    <row r="6" spans="1:3" x14ac:dyDescent="0.25">
      <c r="A6" s="10">
        <v>2</v>
      </c>
      <c r="B6" s="6" t="s">
        <v>63</v>
      </c>
      <c r="C6" s="7">
        <v>6</v>
      </c>
    </row>
    <row r="7" spans="1:3" x14ac:dyDescent="0.25">
      <c r="A7" s="10">
        <v>3</v>
      </c>
      <c r="B7" s="6" t="s">
        <v>64</v>
      </c>
      <c r="C7" s="7">
        <v>200</v>
      </c>
    </row>
    <row r="8" spans="1:3" x14ac:dyDescent="0.25">
      <c r="A8" s="10">
        <v>4</v>
      </c>
      <c r="B8" s="6" t="s">
        <v>63</v>
      </c>
      <c r="C8" s="7">
        <v>7</v>
      </c>
    </row>
    <row r="9" spans="1:3" x14ac:dyDescent="0.25">
      <c r="A9" s="10">
        <v>5</v>
      </c>
      <c r="B9" s="6" t="s">
        <v>62</v>
      </c>
      <c r="C9" s="7">
        <v>500</v>
      </c>
    </row>
    <row r="10" spans="1:3" x14ac:dyDescent="0.25">
      <c r="A10" s="10">
        <v>6</v>
      </c>
      <c r="B10" s="6" t="s">
        <v>65</v>
      </c>
      <c r="C10" s="7">
        <v>300</v>
      </c>
    </row>
    <row r="11" spans="1:3" x14ac:dyDescent="0.25">
      <c r="A11" s="10">
        <v>7</v>
      </c>
      <c r="B11" s="6" t="s">
        <v>66</v>
      </c>
      <c r="C11" s="7">
        <v>115.7</v>
      </c>
    </row>
    <row r="12" spans="1:3" x14ac:dyDescent="0.25">
      <c r="A12" s="10">
        <v>8</v>
      </c>
      <c r="B12" s="6" t="s">
        <v>67</v>
      </c>
      <c r="C12" s="7">
        <v>280</v>
      </c>
    </row>
    <row r="13" spans="1:3" x14ac:dyDescent="0.25">
      <c r="A13" s="10">
        <v>9</v>
      </c>
      <c r="B13" s="6" t="s">
        <v>68</v>
      </c>
      <c r="C13" s="7">
        <v>2488</v>
      </c>
    </row>
    <row r="14" spans="1:3" x14ac:dyDescent="0.25">
      <c r="A14" s="10">
        <v>10</v>
      </c>
      <c r="B14" s="6" t="s">
        <v>69</v>
      </c>
      <c r="C14" s="7">
        <v>3060</v>
      </c>
    </row>
    <row r="15" spans="1:3" x14ac:dyDescent="0.25">
      <c r="A15" s="10">
        <v>11</v>
      </c>
      <c r="B15" s="6" t="s">
        <v>70</v>
      </c>
      <c r="C15" s="7">
        <v>350</v>
      </c>
    </row>
    <row r="16" spans="1:3" x14ac:dyDescent="0.25">
      <c r="A16" s="10">
        <v>12</v>
      </c>
      <c r="B16" s="6" t="s">
        <v>71</v>
      </c>
      <c r="C16" s="7">
        <v>354</v>
      </c>
    </row>
    <row r="17" spans="1:3" x14ac:dyDescent="0.25">
      <c r="A17" s="10">
        <v>13</v>
      </c>
      <c r="B17" s="6" t="s">
        <v>62</v>
      </c>
      <c r="C17" s="7">
        <v>500</v>
      </c>
    </row>
    <row r="18" spans="1:3" x14ac:dyDescent="0.25">
      <c r="A18" s="10">
        <v>14</v>
      </c>
      <c r="B18" s="6" t="s">
        <v>72</v>
      </c>
      <c r="C18" s="7">
        <v>2000</v>
      </c>
    </row>
    <row r="19" spans="1:3" x14ac:dyDescent="0.25">
      <c r="A19" s="10">
        <v>15</v>
      </c>
      <c r="B19" s="6" t="s">
        <v>73</v>
      </c>
      <c r="C19" s="7">
        <v>2000</v>
      </c>
    </row>
    <row r="20" spans="1:3" x14ac:dyDescent="0.25">
      <c r="A20" s="10">
        <v>16</v>
      </c>
      <c r="B20" s="6" t="s">
        <v>66</v>
      </c>
      <c r="C20" s="7">
        <v>30</v>
      </c>
    </row>
    <row r="21" spans="1:3" x14ac:dyDescent="0.25">
      <c r="A21" s="10">
        <v>17</v>
      </c>
      <c r="B21" s="6" t="s">
        <v>74</v>
      </c>
      <c r="C21" s="7">
        <v>245.6</v>
      </c>
    </row>
    <row r="22" spans="1:3" x14ac:dyDescent="0.25">
      <c r="A22" s="10">
        <v>18</v>
      </c>
      <c r="B22" s="6" t="s">
        <v>62</v>
      </c>
      <c r="C22" s="7">
        <v>500</v>
      </c>
    </row>
    <row r="23" spans="1:3" x14ac:dyDescent="0.25">
      <c r="A23" s="10">
        <v>19</v>
      </c>
      <c r="B23" s="6" t="s">
        <v>75</v>
      </c>
      <c r="C23" s="7">
        <v>3982</v>
      </c>
    </row>
    <row r="24" spans="1:3" x14ac:dyDescent="0.25">
      <c r="A24" s="10">
        <v>20</v>
      </c>
      <c r="B24" s="6" t="s">
        <v>76</v>
      </c>
      <c r="C24" s="7">
        <v>3464</v>
      </c>
    </row>
    <row r="25" spans="1:3" x14ac:dyDescent="0.25">
      <c r="A25" s="10">
        <v>21</v>
      </c>
      <c r="B25" s="6" t="s">
        <v>77</v>
      </c>
      <c r="C25" s="7">
        <v>3352</v>
      </c>
    </row>
    <row r="26" spans="1:3" x14ac:dyDescent="0.25">
      <c r="A26" s="10">
        <v>22</v>
      </c>
      <c r="B26" s="6" t="s">
        <v>78</v>
      </c>
      <c r="C26" s="7">
        <v>3604</v>
      </c>
    </row>
    <row r="27" spans="1:3" x14ac:dyDescent="0.25">
      <c r="A27" s="10">
        <v>23</v>
      </c>
      <c r="B27" s="6" t="s">
        <v>69</v>
      </c>
      <c r="C27" s="7">
        <v>1945</v>
      </c>
    </row>
    <row r="28" spans="1:3" x14ac:dyDescent="0.25">
      <c r="A28" s="10">
        <v>24</v>
      </c>
      <c r="B28" s="6" t="s">
        <v>79</v>
      </c>
      <c r="C28" s="7">
        <v>2090</v>
      </c>
    </row>
    <row r="29" spans="1:3" x14ac:dyDescent="0.25">
      <c r="A29" s="10">
        <v>25</v>
      </c>
      <c r="B29" s="6" t="s">
        <v>80</v>
      </c>
      <c r="C29" s="7">
        <v>350</v>
      </c>
    </row>
    <row r="30" spans="1:3" x14ac:dyDescent="0.25">
      <c r="A30" s="10">
        <v>26</v>
      </c>
      <c r="B30" s="6" t="s">
        <v>81</v>
      </c>
      <c r="C30" s="7">
        <v>945</v>
      </c>
    </row>
    <row r="31" spans="1:3" x14ac:dyDescent="0.25">
      <c r="A31" s="10">
        <v>27</v>
      </c>
      <c r="B31" s="6" t="s">
        <v>82</v>
      </c>
      <c r="C31" s="7">
        <v>50</v>
      </c>
    </row>
    <row r="32" spans="1:3" x14ac:dyDescent="0.25">
      <c r="A32" s="10">
        <v>28</v>
      </c>
      <c r="B32" s="6" t="s">
        <v>83</v>
      </c>
      <c r="C32" s="7">
        <v>100</v>
      </c>
    </row>
    <row r="33" spans="1:3" x14ac:dyDescent="0.25">
      <c r="A33" s="10">
        <v>29</v>
      </c>
      <c r="B33" s="6" t="s">
        <v>84</v>
      </c>
      <c r="C33" s="7">
        <v>100</v>
      </c>
    </row>
    <row r="34" spans="1:3" x14ac:dyDescent="0.25">
      <c r="A34" s="10">
        <v>30</v>
      </c>
      <c r="B34" s="6" t="s">
        <v>85</v>
      </c>
      <c r="C34" s="7">
        <v>7300</v>
      </c>
    </row>
    <row r="35" spans="1:3" x14ac:dyDescent="0.25">
      <c r="A35" s="10">
        <v>31</v>
      </c>
      <c r="B35" s="6" t="s">
        <v>86</v>
      </c>
      <c r="C35" s="7">
        <v>357</v>
      </c>
    </row>
    <row r="36" spans="1:3" s="8" customFormat="1" x14ac:dyDescent="0.25">
      <c r="A36" s="9" t="s">
        <v>22</v>
      </c>
      <c r="B36" s="9"/>
      <c r="C36" s="15">
        <f>SUM(C5:C35)</f>
        <v>41075.3</v>
      </c>
    </row>
  </sheetData>
  <mergeCells count="2">
    <mergeCell ref="A1:E1"/>
    <mergeCell ref="A36:B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6" customWidth="1"/>
    <col min="4" max="4" width="36" customWidth="1"/>
  </cols>
  <sheetData>
    <row r="1" spans="1:5" x14ac:dyDescent="0.25">
      <c r="A1" s="1" t="s">
        <v>87</v>
      </c>
      <c r="B1" s="1"/>
      <c r="C1" s="1"/>
      <c r="D1" s="1"/>
      <c r="E1" s="1"/>
    </row>
    <row r="2" spans="1:1" x14ac:dyDescent="0.25">
      <c r="A2" s="2" t="s">
        <v>88</v>
      </c>
    </row>
    <row r="4" spans="1:4" s="8" customFormat="1" x14ac:dyDescent="0.25">
      <c r="A4" s="8" t="s">
        <v>89</v>
      </c>
      <c r="B4" s="8" t="s">
        <v>17</v>
      </c>
      <c r="C4" s="8" t="s">
        <v>18</v>
      </c>
      <c r="D4" s="8" t="s">
        <v>27</v>
      </c>
    </row>
    <row r="5" spans="1:4" s="8" customFormat="1" x14ac:dyDescent="0.25">
      <c r="A5" s="9" t="s">
        <v>90</v>
      </c>
      <c r="B5" s="9" t="s">
        <v>29</v>
      </c>
      <c r="C5" s="9" t="s">
        <v>29</v>
      </c>
      <c r="D5" s="9" t="s">
        <v>29</v>
      </c>
    </row>
    <row r="6" spans="1:4" x14ac:dyDescent="0.25">
      <c r="A6" s="6" t="s">
        <v>31</v>
      </c>
      <c r="B6" s="6" t="s">
        <v>29</v>
      </c>
      <c r="C6" s="7">
        <f>Assumptions!B6</f>
        <v>86109.35</v>
      </c>
      <c r="D6" s="6" t="s">
        <v>29</v>
      </c>
    </row>
    <row r="7" spans="1:4" x14ac:dyDescent="0.25">
      <c r="A7" s="6" t="s">
        <v>32</v>
      </c>
      <c r="B7" s="6" t="s">
        <v>29</v>
      </c>
      <c r="C7" s="7">
        <f>Assumptions!B7</f>
        <v>967.65</v>
      </c>
      <c r="D7" s="6" t="s">
        <v>29</v>
      </c>
    </row>
    <row r="8" spans="1:4" x14ac:dyDescent="0.25">
      <c r="A8" s="6" t="s">
        <v>33</v>
      </c>
      <c r="B8" s="6" t="s">
        <v>29</v>
      </c>
      <c r="C8" s="7">
        <f>Assumptions!B8</f>
        <v>1202</v>
      </c>
      <c r="D8" s="6" t="s">
        <v>29</v>
      </c>
    </row>
    <row r="9" spans="1:4" x14ac:dyDescent="0.25">
      <c r="A9" s="6" t="s">
        <v>34</v>
      </c>
      <c r="B9" s="6" t="s">
        <v>29</v>
      </c>
      <c r="C9" s="7">
        <f>Assumptions!B9</f>
        <v>1269.91</v>
      </c>
      <c r="D9" s="6" t="s">
        <v>29</v>
      </c>
    </row>
    <row r="10" spans="1:4" x14ac:dyDescent="0.25">
      <c r="A10" s="6" t="s">
        <v>35</v>
      </c>
      <c r="B10" s="6" t="s">
        <v>29</v>
      </c>
      <c r="C10" s="7">
        <f>Assumptions!B10</f>
        <v>2874.13</v>
      </c>
      <c r="D10" s="6" t="s">
        <v>29</v>
      </c>
    </row>
    <row r="11" spans="1:4" x14ac:dyDescent="0.25">
      <c r="A11" s="11" t="s">
        <v>91</v>
      </c>
      <c r="B11" s="11" t="s">
        <v>29</v>
      </c>
      <c r="C11" s="13">
        <f>SUM(C6:C10)</f>
        <v>92423.04</v>
      </c>
      <c r="D11" s="11" t="s">
        <v>29</v>
      </c>
    </row>
    <row r="13" spans="1:4" s="8" customFormat="1" x14ac:dyDescent="0.25">
      <c r="A13" s="9" t="s">
        <v>92</v>
      </c>
      <c r="B13" s="9" t="s">
        <v>29</v>
      </c>
      <c r="C13" s="9" t="s">
        <v>29</v>
      </c>
      <c r="D13" s="9" t="s">
        <v>29</v>
      </c>
    </row>
    <row r="14" spans="1:4" x14ac:dyDescent="0.25">
      <c r="A14" s="6" t="s">
        <v>93</v>
      </c>
      <c r="B14" s="6" t="s">
        <v>29</v>
      </c>
      <c r="C14" s="7">
        <f>Assumptions!B11</f>
        <v>12857.48</v>
      </c>
      <c r="D14" s="6" t="s">
        <v>94</v>
      </c>
    </row>
    <row r="15" spans="1:4" x14ac:dyDescent="0.25">
      <c r="A15" s="6" t="s">
        <v>19</v>
      </c>
      <c r="B15" s="10">
        <f>Assumptions!C12</f>
        <v>957</v>
      </c>
      <c r="C15" s="7">
        <f>Assumptions!B12</f>
        <v>771.6389</v>
      </c>
      <c r="D15" s="6" t="s">
        <v>95</v>
      </c>
    </row>
    <row r="16" spans="1:4" x14ac:dyDescent="0.25">
      <c r="A16" s="6" t="s">
        <v>20</v>
      </c>
      <c r="B16" s="10">
        <f>Assumptions!C13</f>
        <v>160</v>
      </c>
      <c r="C16" s="7">
        <f>Assumptions!B13</f>
        <v>201.5</v>
      </c>
      <c r="D16" s="6" t="s">
        <v>41</v>
      </c>
    </row>
    <row r="17" spans="1:4" x14ac:dyDescent="0.25">
      <c r="A17" s="6" t="s">
        <v>21</v>
      </c>
      <c r="B17" s="10">
        <f>Assumptions!C14</f>
        <v>90</v>
      </c>
      <c r="C17" s="7">
        <f>Assumptions!B14</f>
        <v>180</v>
      </c>
      <c r="D17" s="6" t="s">
        <v>96</v>
      </c>
    </row>
    <row r="18" spans="1:4" x14ac:dyDescent="0.25">
      <c r="A18" s="6" t="s">
        <v>44</v>
      </c>
      <c r="B18" s="6" t="s">
        <v>29</v>
      </c>
      <c r="C18" s="7">
        <f>Assumptions!B15</f>
        <v>41075.3</v>
      </c>
      <c r="D18" s="6" t="s">
        <v>97</v>
      </c>
    </row>
    <row r="19" spans="1:4" x14ac:dyDescent="0.25">
      <c r="A19" s="11" t="s">
        <v>98</v>
      </c>
      <c r="B19" s="11" t="s">
        <v>29</v>
      </c>
      <c r="C19" s="13">
        <f>SUM(C14:C18)</f>
        <v>55085.918900000004</v>
      </c>
      <c r="D19" s="11" t="s">
        <v>29</v>
      </c>
    </row>
    <row r="20" spans="1:4" x14ac:dyDescent="0.25">
      <c r="A20" s="11" t="s">
        <v>99</v>
      </c>
      <c r="B20" s="11" t="s">
        <v>29</v>
      </c>
      <c r="C20" s="13">
        <f>C11-C19</f>
        <v>37337.12109999999</v>
      </c>
      <c r="D20" s="11" t="s">
        <v>29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8" customWidth="1"/>
    <col min="4" max="4" width="36" customWidth="1"/>
  </cols>
  <sheetData>
    <row r="1" spans="1:5" x14ac:dyDescent="0.25">
      <c r="A1" s="1" t="s">
        <v>100</v>
      </c>
      <c r="B1" s="1"/>
      <c r="C1" s="1"/>
      <c r="D1" s="1"/>
      <c r="E1" s="1"/>
    </row>
    <row r="2" spans="1:1" x14ac:dyDescent="0.25">
      <c r="A2" s="2" t="s">
        <v>101</v>
      </c>
    </row>
    <row r="4" spans="1:4" s="8" customFormat="1" x14ac:dyDescent="0.25">
      <c r="A4" s="8" t="s">
        <v>89</v>
      </c>
      <c r="B4" s="8" t="s">
        <v>102</v>
      </c>
      <c r="C4" s="8" t="s">
        <v>18</v>
      </c>
      <c r="D4" s="8" t="s">
        <v>27</v>
      </c>
    </row>
    <row r="5" spans="1:4" x14ac:dyDescent="0.25">
      <c r="A5" s="6" t="s">
        <v>46</v>
      </c>
      <c r="B5" s="6" t="s">
        <v>103</v>
      </c>
      <c r="C5" s="7">
        <f>Assumptions!B16</f>
        <v>134553.49</v>
      </c>
      <c r="D5" s="6" t="s">
        <v>47</v>
      </c>
    </row>
    <row r="6" spans="1:4" x14ac:dyDescent="0.25">
      <c r="A6" s="6" t="s">
        <v>104</v>
      </c>
      <c r="B6" s="6" t="s">
        <v>87</v>
      </c>
      <c r="C6" s="7">
        <f>Income Statement!C20</f>
        <v>37337.12109999999</v>
      </c>
      <c r="D6" s="6" t="s">
        <v>105</v>
      </c>
    </row>
    <row r="7" spans="1:4" x14ac:dyDescent="0.25">
      <c r="A7" s="11" t="s">
        <v>106</v>
      </c>
      <c r="B7" s="11" t="s">
        <v>29</v>
      </c>
      <c r="C7" s="13">
        <f>C5+C6</f>
        <v>171890.61109999998</v>
      </c>
      <c r="D7" s="11" t="s">
        <v>29</v>
      </c>
    </row>
    <row r="8" spans="1:4" x14ac:dyDescent="0.25">
      <c r="A8" s="6" t="s">
        <v>107</v>
      </c>
      <c r="B8" s="6" t="s">
        <v>108</v>
      </c>
      <c r="C8" s="7">
        <f>MAX(C7-Assumptions!B17,0)</f>
        <v>51890.61109999998</v>
      </c>
      <c r="D8" s="6" t="s">
        <v>29</v>
      </c>
    </row>
    <row r="9" spans="1:4" x14ac:dyDescent="0.25">
      <c r="A9" s="11" t="s">
        <v>109</v>
      </c>
      <c r="B9" s="11" t="s">
        <v>29</v>
      </c>
      <c r="C9" s="13">
        <f>C7-C8</f>
        <v>120000</v>
      </c>
      <c r="D9" s="11" t="s">
        <v>110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18" customWidth="1"/>
    <col min="4" max="4" width="36" customWidth="1"/>
  </cols>
  <sheetData>
    <row r="1" spans="1:5" x14ac:dyDescent="0.25">
      <c r="A1" s="1" t="s">
        <v>111</v>
      </c>
      <c r="B1" s="1"/>
      <c r="C1" s="1"/>
      <c r="D1" s="1"/>
      <c r="E1" s="1"/>
    </row>
    <row r="2" spans="1:1" x14ac:dyDescent="0.25">
      <c r="A2" s="2" t="s">
        <v>112</v>
      </c>
    </row>
    <row r="4" spans="1:4" s="8" customFormat="1" x14ac:dyDescent="0.25">
      <c r="A4" s="8" t="s">
        <v>89</v>
      </c>
      <c r="B4" s="8" t="s">
        <v>113</v>
      </c>
      <c r="C4" s="8" t="s">
        <v>18</v>
      </c>
      <c r="D4" s="8" t="s">
        <v>27</v>
      </c>
    </row>
    <row r="5" spans="1:4" x14ac:dyDescent="0.25">
      <c r="A5" s="6" t="s">
        <v>114</v>
      </c>
      <c r="B5" s="6" t="s">
        <v>9</v>
      </c>
      <c r="C5" s="7">
        <f>Assumptions!B18+Equity Rollforward!C8+Equity Rollforward!C9</f>
        <v>316954.3111</v>
      </c>
      <c r="D5" s="6" t="s">
        <v>29</v>
      </c>
    </row>
    <row r="6" spans="1:4" x14ac:dyDescent="0.25">
      <c r="A6" s="6" t="s">
        <v>114</v>
      </c>
      <c r="B6" s="6" t="s">
        <v>11</v>
      </c>
      <c r="C6" s="7">
        <f>Assumptions!B18+Equity Rollforward!C9</f>
        <v>265063.7</v>
      </c>
      <c r="D6" s="6" t="s">
        <v>29</v>
      </c>
    </row>
    <row r="8" spans="1:4" s="8" customFormat="1" x14ac:dyDescent="0.25">
      <c r="A8" s="9" t="s">
        <v>115</v>
      </c>
      <c r="B8" s="9" t="s">
        <v>29</v>
      </c>
      <c r="C8" s="9" t="s">
        <v>29</v>
      </c>
      <c r="D8" s="9" t="s">
        <v>29</v>
      </c>
    </row>
    <row r="9" spans="1:4" x14ac:dyDescent="0.25">
      <c r="A9" s="6" t="s">
        <v>116</v>
      </c>
      <c r="B9" s="6" t="s">
        <v>29</v>
      </c>
      <c r="C9" s="7">
        <f>Assumptions!B18</f>
        <v>145063.7</v>
      </c>
      <c r="D9" s="6" t="s">
        <v>51</v>
      </c>
    </row>
    <row r="10" spans="1:4" x14ac:dyDescent="0.25">
      <c r="A10" s="6" t="s">
        <v>13</v>
      </c>
      <c r="B10" s="6" t="s">
        <v>29</v>
      </c>
      <c r="C10" s="7">
        <f>Equity Rollforward!C8</f>
        <v>51890.61109999998</v>
      </c>
      <c r="D10" s="6" t="s">
        <v>117</v>
      </c>
    </row>
    <row r="12" spans="1:4" s="8" customFormat="1" x14ac:dyDescent="0.25">
      <c r="A12" s="9" t="s">
        <v>118</v>
      </c>
      <c r="B12" s="9" t="s">
        <v>29</v>
      </c>
      <c r="C12" s="9" t="s">
        <v>29</v>
      </c>
      <c r="D12" s="9" t="s">
        <v>29</v>
      </c>
    </row>
    <row r="13" spans="1:4" x14ac:dyDescent="0.25">
      <c r="A13" s="6" t="s">
        <v>109</v>
      </c>
      <c r="B13" s="6" t="s">
        <v>29</v>
      </c>
      <c r="C13" s="7">
        <f>Equity Rollforward!C9</f>
        <v>120000</v>
      </c>
      <c r="D13" s="6" t="s">
        <v>119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18" customWidth="1"/>
    <col min="4" max="5" width="14" customWidth="1"/>
  </cols>
  <sheetData>
    <row r="1" spans="1:5" x14ac:dyDescent="0.25">
      <c r="A1" s="1" t="s">
        <v>120</v>
      </c>
      <c r="B1" s="1"/>
      <c r="C1" s="1"/>
      <c r="D1" s="1"/>
      <c r="E1" s="1"/>
    </row>
    <row r="2" spans="1:1" x14ac:dyDescent="0.25">
      <c r="A2" s="2" t="s">
        <v>121</v>
      </c>
    </row>
    <row r="4" spans="1:5" s="8" customFormat="1" x14ac:dyDescent="0.25">
      <c r="A4" s="8" t="s">
        <v>122</v>
      </c>
      <c r="B4" s="8" t="s">
        <v>123</v>
      </c>
      <c r="C4" s="8" t="s">
        <v>124</v>
      </c>
      <c r="D4" s="8" t="s">
        <v>125</v>
      </c>
      <c r="E4" s="8" t="s">
        <v>126</v>
      </c>
    </row>
    <row r="5" spans="1:5" x14ac:dyDescent="0.25">
      <c r="A5" s="6" t="s">
        <v>127</v>
      </c>
      <c r="B5" s="7">
        <f>Income Statement!C11</f>
        <v>92423.04</v>
      </c>
      <c r="C5" s="7">
        <f>Assumptions!B5</f>
        <v>92423.04</v>
      </c>
      <c r="D5" s="7">
        <f>B5-C5</f>
        <v>0</v>
      </c>
      <c r="E5" s="16" t="str">
        <f>IF(ABS(D5)&lt;0.005,"OK","CHECK")</f>
        <v>OK</v>
      </c>
    </row>
    <row r="6" spans="1:5" x14ac:dyDescent="0.25">
      <c r="A6" s="6" t="s">
        <v>128</v>
      </c>
      <c r="B6" s="7">
        <f>Income Statement!C19</f>
        <v>55085.918900000004</v>
      </c>
      <c r="C6" s="7">
        <f>Assumptions!B11+Assumptions!B12+Assumptions!B13+Assumptions!B14+Assumptions!B15</f>
        <v>55085.918900000004</v>
      </c>
      <c r="D6" s="7">
        <f>B6-C6</f>
        <v>0</v>
      </c>
      <c r="E6" s="16" t="str">
        <f>IF(ABS(D6)&lt;0.005,"OK","CHECK")</f>
        <v>OK</v>
      </c>
    </row>
    <row r="7" spans="1:5" x14ac:dyDescent="0.25">
      <c r="A7" s="6" t="s">
        <v>129</v>
      </c>
      <c r="B7" s="7">
        <f>Equity Rollforward!C9</f>
        <v>120000</v>
      </c>
      <c r="C7" s="7">
        <f>Assumptions!B17</f>
        <v>120000</v>
      </c>
      <c r="D7" s="7">
        <f>B7-C7</f>
        <v>0</v>
      </c>
      <c r="E7" s="16" t="str">
        <f>IF(ABS(D7)&lt;0.005,"OK","CHECK")</f>
        <v>OK</v>
      </c>
    </row>
    <row r="8" spans="1:5" x14ac:dyDescent="0.25">
      <c r="A8" s="6" t="s">
        <v>130</v>
      </c>
      <c r="B8" s="7">
        <f>Balance Sheet!C5</f>
        <v>316954.3111</v>
      </c>
      <c r="C8" s="7">
        <f>Balance Sheet!C9+Balance Sheet!C10+Balance Sheet!C13</f>
        <v>316954.3111</v>
      </c>
      <c r="D8" s="7">
        <f>B8-C8</f>
        <v>0</v>
      </c>
      <c r="E8" s="16" t="str">
        <f>IF(ABS(D8)&lt;0.005,"OK","CHECK")</f>
        <v>OK</v>
      </c>
    </row>
    <row r="9" spans="1:5" x14ac:dyDescent="0.25">
      <c r="A9" s="6" t="s">
        <v>131</v>
      </c>
      <c r="B9" s="7">
        <f>Balance Sheet!C6</f>
        <v>265063.7</v>
      </c>
      <c r="C9" s="7">
        <f>Balance Sheet!C9+Balance Sheet!C13</f>
        <v>265063.7</v>
      </c>
      <c r="D9" s="7">
        <f>B9-C9</f>
        <v>0</v>
      </c>
      <c r="E9" s="16" t="str">
        <f>IF(ABS(D9)&lt;0.005,"OK","CHECK")</f>
        <v>OK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Assumptions</vt:lpstr>
      <vt:lpstr>OffDB Detail</vt:lpstr>
      <vt:lpstr>Income Statement</vt:lpstr>
      <vt:lpstr>Equity Rollforward</vt:lpstr>
      <vt:lpstr>Balance Sheet</vt:lpstr>
      <vt:lpstr>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2026-06-09T04:58:00Z</dcterms:created>
  <dcterms:modified xsi:type="dcterms:W3CDTF">2026-06-09T04:58:00Z</dcterms:modified>
</cp:coreProperties>
</file>